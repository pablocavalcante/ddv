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pedroferrari_prodam_sp_gov_br/Documents/Área de Trabalho/ddv/Templates/"/>
    </mc:Choice>
  </mc:AlternateContent>
  <xr:revisionPtr revIDLastSave="37" documentId="8_{25CF6132-F9B0-4D74-970A-064C9F545F8D}" xr6:coauthVersionLast="47" xr6:coauthVersionMax="47" xr10:uidLastSave="{C9CA65F1-92ED-4EEE-856D-8E7EC2FDE97D}"/>
  <bookViews>
    <workbookView xWindow="-120" yWindow="-120" windowWidth="21840" windowHeight="13020" firstSheet="1" activeTab="1" xr2:uid="{2E54BBDE-98B4-4833-95CB-76D96253B1CE}"/>
  </bookViews>
  <sheets>
    <sheet name="TOTINDICE" sheetId="1" r:id="rId1"/>
    <sheet name="Receitas" sheetId="2" r:id="rId2"/>
  </sheets>
  <definedNames>
    <definedName name="_28_Fev_01">TOTINDICE!$B$438:$K$438</definedName>
    <definedName name="_28_Fev_02">TOTINDICE!$B$450:$K$450</definedName>
    <definedName name="_28_Fev_65">TOTINDICE!$B$6:$K$6</definedName>
    <definedName name="_28_Fev_66">TOTINDICE!$B$18:$K$18</definedName>
    <definedName name="_28_Fev_67">TOTINDICE!$B$30:$K$30</definedName>
    <definedName name="_28_Fev_69">TOTINDICE!$B$54:$K$54</definedName>
    <definedName name="_28_Fev_70">TOTINDICE!$B$66:$K$66</definedName>
    <definedName name="_28_Fev_71">TOTINDICE!$B$78:$K$78</definedName>
    <definedName name="_28_Fev_73">TOTINDICE!$B$102:$K$102</definedName>
    <definedName name="_28_Fev_74">TOTINDICE!$B$114:$K$114</definedName>
    <definedName name="_28_Fev_75">TOTINDICE!$B$126:$K$126</definedName>
    <definedName name="_28_Fev_77">TOTINDICE!$B$150:$K$150</definedName>
    <definedName name="_28_Fev_78">TOTINDICE!$B$162:$K$162</definedName>
    <definedName name="_28_Fev_79">TOTINDICE!$B$174:$K$174</definedName>
    <definedName name="_28_Fev_81">TOTINDICE!$B$198:$K$198</definedName>
    <definedName name="_28_Fev_82">TOTINDICE!$B$210:$K$210</definedName>
    <definedName name="_28_Fev_83">TOTINDICE!$B$222:$K$222</definedName>
    <definedName name="_28_Fev_85">TOTINDICE!$B$246:$K$246</definedName>
    <definedName name="_28_Fev_86">TOTINDICE!$B$258:$K$258</definedName>
    <definedName name="_28_Fev_87">TOTINDICE!$B$270:$K$270</definedName>
    <definedName name="_28_Fev_89">TOTINDICE!$B$294:$K$294</definedName>
    <definedName name="_28_Fev_90">TOTINDICE!$B$306:$K$306</definedName>
    <definedName name="_28_Fev_91">TOTINDICE!$B$318:$K$318</definedName>
    <definedName name="_28_Fev_93">TOTINDICE!$B$342:$K$342</definedName>
    <definedName name="_28_Fev_94">TOTINDICE!$B$354:$K$354</definedName>
    <definedName name="_28_Fev_95">TOTINDICE!$B$366:$K$366</definedName>
    <definedName name="_28_Fev_97">TOTINDICE!$B$390:$K$390</definedName>
    <definedName name="_28_Fev_98">TOTINDICE!$B$402:$K$402</definedName>
    <definedName name="_28_Fev_99">TOTINDICE!$B$414:$K$414</definedName>
    <definedName name="_29_Fev_00">TOTINDICE!$B$426:$K$426</definedName>
    <definedName name="_29_Fev_68">TOTINDICE!$B$42:$K$42</definedName>
    <definedName name="_29_Fev_72">TOTINDICE!$B$90:$K$90</definedName>
    <definedName name="_29_Fev_76">TOTINDICE!$B$138:$K$138</definedName>
    <definedName name="_29_Fev_80">TOTINDICE!$B$186:$K$186</definedName>
    <definedName name="_29_Fev_84">TOTINDICE!$B$234:$K$234</definedName>
    <definedName name="_29_Fev_88">TOTINDICE!$B$282:$K$282</definedName>
    <definedName name="_29_Fev_92">TOTINDICE!$B$330:$K$330</definedName>
    <definedName name="_29_Fev_96">TOTINDICE!$B$378:$K$378</definedName>
    <definedName name="_30_Abr_00">TOTINDICE!$B$428:$K$428</definedName>
    <definedName name="_30_Abr_01">TOTINDICE!$B$440:$K$440</definedName>
    <definedName name="_30_Abr_02">TOTINDICE!$B$452:$K$452</definedName>
    <definedName name="_30_Abr_65">TOTINDICE!$B$8:$K$8</definedName>
    <definedName name="_30_Abr_66">TOTINDICE!$B$20:$K$20</definedName>
    <definedName name="_30_Abr_67">TOTINDICE!$B$32:$K$32</definedName>
    <definedName name="_30_Abr_68">TOTINDICE!$B$44:$K$44</definedName>
    <definedName name="_30_Abr_69">TOTINDICE!$B$56:$K$56</definedName>
    <definedName name="_30_Abr_70">TOTINDICE!$B$68:$K$68</definedName>
    <definedName name="_30_Abr_71">TOTINDICE!$B$80:$K$80</definedName>
    <definedName name="_30_Abr_72">TOTINDICE!$B$92:$K$92</definedName>
    <definedName name="_30_Abr_73">TOTINDICE!$B$104:$K$104</definedName>
    <definedName name="_30_Abr_74">TOTINDICE!$B$116:$K$116</definedName>
    <definedName name="_30_Abr_75">TOTINDICE!$B$128:$K$128</definedName>
    <definedName name="_30_Abr_76">TOTINDICE!$B$140:$K$140</definedName>
    <definedName name="_30_Abr_77">TOTINDICE!$B$152:$K$152</definedName>
    <definedName name="_30_Abr_78">TOTINDICE!$B$164:$K$164</definedName>
    <definedName name="_30_Abr_79">TOTINDICE!$B$176:$K$176</definedName>
    <definedName name="_30_Abr_80">TOTINDICE!$B$188:$K$188</definedName>
    <definedName name="_30_Abr_81">TOTINDICE!$B$200:$K$200</definedName>
    <definedName name="_30_Abr_82">TOTINDICE!$B$212:$K$212</definedName>
    <definedName name="_30_Abr_83">TOTINDICE!$B$224:$K$224</definedName>
    <definedName name="_30_Abr_84">TOTINDICE!$B$236:$K$236</definedName>
    <definedName name="_30_Abr_85">TOTINDICE!$B$248:$K$248</definedName>
    <definedName name="_30_Abr_86">TOTINDICE!$B$260:$K$260</definedName>
    <definedName name="_30_Abr_87">TOTINDICE!$B$272:$K$272</definedName>
    <definedName name="_30_Abr_88">TOTINDICE!$B$284:$K$284</definedName>
    <definedName name="_30_Abr_89">TOTINDICE!$B$296:$K$296</definedName>
    <definedName name="_30_Abr_90">TOTINDICE!$B$308:$K$308</definedName>
    <definedName name="_30_Abr_91">TOTINDICE!$B$320:$K$320</definedName>
    <definedName name="_30_Abr_92">TOTINDICE!$B$332:$K$332</definedName>
    <definedName name="_30_Abr_93">TOTINDICE!$B$344:$K$344</definedName>
    <definedName name="_30_Abr_94">TOTINDICE!$B$356:$K$356</definedName>
    <definedName name="_30_Abr_95">TOTINDICE!$B$368:$K$368</definedName>
    <definedName name="_30_Abr_96">TOTINDICE!$B$380:$K$380</definedName>
    <definedName name="_30_Abr_97">TOTINDICE!$B$392:$K$392</definedName>
    <definedName name="_30_Abr_98">TOTINDICE!$B$404:$K$404</definedName>
    <definedName name="_30_Abr_99">TOTINDICE!$B$416:$K$416</definedName>
    <definedName name="_30_Jun_00">TOTINDICE!$B$430:$K$430</definedName>
    <definedName name="_30_Jun_01">TOTINDICE!$B$442:$K$442</definedName>
    <definedName name="_30_Jun_02">TOTINDICE!$B$454:$K$454</definedName>
    <definedName name="_30_Jun_65">TOTINDICE!$B$10:$K$10</definedName>
    <definedName name="_30_Jun_66">TOTINDICE!$B$22:$K$22</definedName>
    <definedName name="_30_Jun_67">TOTINDICE!$B$34:$K$34</definedName>
    <definedName name="_30_Jun_68">TOTINDICE!$B$46:$K$46</definedName>
    <definedName name="_30_Jun_69">TOTINDICE!$B$58:$K$58</definedName>
    <definedName name="_30_Jun_70">TOTINDICE!$B$70:$K$70</definedName>
    <definedName name="_30_Jun_71">TOTINDICE!$B$82:$K$82</definedName>
    <definedName name="_30_Jun_72">TOTINDICE!$B$94:$K$94</definedName>
    <definedName name="_30_Jun_73">TOTINDICE!$B$106:$K$106</definedName>
    <definedName name="_30_Jun_74">TOTINDICE!$B$118:$K$118</definedName>
    <definedName name="_30_Jun_75">TOTINDICE!$B$130:$K$130</definedName>
    <definedName name="_30_Jun_76">TOTINDICE!$B$142:$K$142</definedName>
    <definedName name="_30_Jun_77">TOTINDICE!$B$154:$K$154</definedName>
    <definedName name="_30_Jun_78">TOTINDICE!$B$166:$K$166</definedName>
    <definedName name="_30_Jun_79">TOTINDICE!$B$178:$K$178</definedName>
    <definedName name="_30_Jun_80">TOTINDICE!$B$190:$K$190</definedName>
    <definedName name="_30_Jun_81">TOTINDICE!$B$202:$K$202</definedName>
    <definedName name="_30_Jun_82">TOTINDICE!$B$214:$K$214</definedName>
    <definedName name="_30_Jun_83">TOTINDICE!$B$226:$K$226</definedName>
    <definedName name="_30_Jun_84">TOTINDICE!$B$238:$K$238</definedName>
    <definedName name="_30_Jun_85">TOTINDICE!$B$250:$K$250</definedName>
    <definedName name="_30_Jun_86">TOTINDICE!$B$262:$K$262</definedName>
    <definedName name="_30_Jun_87">TOTINDICE!$B$274:$K$274</definedName>
    <definedName name="_30_Jun_88">TOTINDICE!$B$286:$K$286</definedName>
    <definedName name="_30_Jun_89">TOTINDICE!$B$298:$K$298</definedName>
    <definedName name="_30_Jun_90">TOTINDICE!$B$310:$K$310</definedName>
    <definedName name="_30_Jun_91">TOTINDICE!$B$322:$K$322</definedName>
    <definedName name="_30_Jun_92">TOTINDICE!$B$334:$K$334</definedName>
    <definedName name="_30_Jun_93">TOTINDICE!$B$346:$K$346</definedName>
    <definedName name="_30_Jun_94">TOTINDICE!$B$358:$K$358</definedName>
    <definedName name="_30_Jun_95">TOTINDICE!$B$370:$K$370</definedName>
    <definedName name="_30_Jun_96">TOTINDICE!$B$382:$K$382</definedName>
    <definedName name="_30_Jun_97">TOTINDICE!$B$394:$K$394</definedName>
    <definedName name="_30_Jun_98">TOTINDICE!$B$406:$K$406</definedName>
    <definedName name="_30_Jun_99">TOTINDICE!$B$418:$K$418</definedName>
    <definedName name="_30_Nov_00">TOTINDICE!$B$435:$K$435</definedName>
    <definedName name="_30_Nov_01">TOTINDICE!$B$447:$K$447</definedName>
    <definedName name="_30_Nov_02">TOTINDICE!$B$459:$K$459</definedName>
    <definedName name="_30_Nov_64">TOTINDICE!$B$3:$K$3</definedName>
    <definedName name="_30_Nov_65">TOTINDICE!$B$15:$K$15</definedName>
    <definedName name="_30_Nov_66">TOTINDICE!$B$27:$K$27</definedName>
    <definedName name="_30_Nov_67">TOTINDICE!$B$39:$K$39</definedName>
    <definedName name="_30_Nov_68">TOTINDICE!$B$51:$K$51</definedName>
    <definedName name="_30_Nov_69">TOTINDICE!$B$63:$K$63</definedName>
    <definedName name="_30_Nov_70">TOTINDICE!$B$75:$K$75</definedName>
    <definedName name="_30_Nov_71">TOTINDICE!$B$87:$K$87</definedName>
    <definedName name="_30_Nov_72">TOTINDICE!$B$99:$K$99</definedName>
    <definedName name="_30_Nov_73">TOTINDICE!$B$111:$K$111</definedName>
    <definedName name="_30_Nov_74">TOTINDICE!$B$123:$K$123</definedName>
    <definedName name="_30_Nov_75">TOTINDICE!$B$135:$K$135</definedName>
    <definedName name="_30_Nov_76">TOTINDICE!$B$147:$K$147</definedName>
    <definedName name="_30_Nov_77">TOTINDICE!$B$159:$K$159</definedName>
    <definedName name="_30_Nov_78">TOTINDICE!$B$171:$K$171</definedName>
    <definedName name="_30_Nov_79">TOTINDICE!$B$183:$K$183</definedName>
    <definedName name="_30_Nov_80">TOTINDICE!$B$195:$K$195</definedName>
    <definedName name="_30_Nov_81">TOTINDICE!$B$207:$K$207</definedName>
    <definedName name="_30_Nov_82">TOTINDICE!$B$219:$K$219</definedName>
    <definedName name="_30_Nov_83">TOTINDICE!$B$231:$K$231</definedName>
    <definedName name="_30_Nov_84">TOTINDICE!$B$243:$K$243</definedName>
    <definedName name="_30_Nov_85">TOTINDICE!$B$255:$K$255</definedName>
    <definedName name="_30_Nov_86">TOTINDICE!$B$267:$K$267</definedName>
    <definedName name="_30_Nov_87">TOTINDICE!$B$279:$K$279</definedName>
    <definedName name="_30_Nov_88">TOTINDICE!$B$291:$K$291</definedName>
    <definedName name="_30_Nov_89">TOTINDICE!$B$303:$K$303</definedName>
    <definedName name="_30_Nov_90">TOTINDICE!$B$315:$K$315</definedName>
    <definedName name="_30_Nov_91">TOTINDICE!$B$327:$K$327</definedName>
    <definedName name="_30_Nov_92">TOTINDICE!$B$339:$K$339</definedName>
    <definedName name="_30_Nov_93">TOTINDICE!$B$351:$K$351</definedName>
    <definedName name="_30_Nov_94">TOTINDICE!$B$363:$K$363</definedName>
    <definedName name="_30_Nov_95">TOTINDICE!$B$375:$K$375</definedName>
    <definedName name="_30_Nov_96">TOTINDICE!$B$387:$K$387</definedName>
    <definedName name="_30_Nov_97">TOTINDICE!$B$399:$K$399</definedName>
    <definedName name="_30_Nov_98">TOTINDICE!$B$411:$K$411</definedName>
    <definedName name="_30_Nov_99">TOTINDICE!$B$423:$K$423</definedName>
    <definedName name="_30_Set_00">TOTINDICE!$B$433:$K$433</definedName>
    <definedName name="_30_Set_01">TOTINDICE!$B$445:$K$445</definedName>
    <definedName name="_30_Set_02">TOTINDICE!$B$457:$K$457</definedName>
    <definedName name="_30_Set_65">TOTINDICE!$B$13:$K$13</definedName>
    <definedName name="_30_Set_66">TOTINDICE!$B$25:$K$25</definedName>
    <definedName name="_30_Set_67">TOTINDICE!$B$37:$K$37</definedName>
    <definedName name="_30_Set_68">TOTINDICE!$B$49:$K$49</definedName>
    <definedName name="_30_Set_69">TOTINDICE!$B$61:$K$61</definedName>
    <definedName name="_30_Set_70">TOTINDICE!$B$73:$K$73</definedName>
    <definedName name="_30_Set_71">TOTINDICE!$B$85:$K$85</definedName>
    <definedName name="_30_Set_72">TOTINDICE!$B$97:$K$97</definedName>
    <definedName name="_30_Set_73">TOTINDICE!$B$109:$K$109</definedName>
    <definedName name="_30_Set_74">TOTINDICE!$B$121:$K$121</definedName>
    <definedName name="_30_Set_75">TOTINDICE!$B$133:$K$133</definedName>
    <definedName name="_30_Set_76">TOTINDICE!$B$145:$K$145</definedName>
    <definedName name="_30_Set_77">TOTINDICE!$B$157:$K$157</definedName>
    <definedName name="_30_Set_78">TOTINDICE!$B$169:$K$169</definedName>
    <definedName name="_30_Set_79">TOTINDICE!$B$181:$K$181</definedName>
    <definedName name="_30_Set_80">TOTINDICE!$B$193:$K$193</definedName>
    <definedName name="_30_Set_81">TOTINDICE!$B$205:$K$205</definedName>
    <definedName name="_30_Set_82">TOTINDICE!$B$217:$K$217</definedName>
    <definedName name="_30_Set_83">TOTINDICE!$B$229:$K$229</definedName>
    <definedName name="_30_Set_84">TOTINDICE!$B$241:$K$241</definedName>
    <definedName name="_30_Set_85">TOTINDICE!$B$253:$K$253</definedName>
    <definedName name="_30_Set_86">TOTINDICE!$B$265:$K$265</definedName>
    <definedName name="_30_Set_87">TOTINDICE!$B$277:$K$277</definedName>
    <definedName name="_30_Set_88">TOTINDICE!$B$289:$K$289</definedName>
    <definedName name="_30_Set_89">TOTINDICE!$B$301:$K$301</definedName>
    <definedName name="_30_Set_90">TOTINDICE!$B$313:$K$313</definedName>
    <definedName name="_30_Set_91">TOTINDICE!$B$325:$K$325</definedName>
    <definedName name="_30_Set_92">TOTINDICE!$B$337:$K$337</definedName>
    <definedName name="_30_Set_93">TOTINDICE!$B$349:$K$349</definedName>
    <definedName name="_30_Set_94">TOTINDICE!$B$361:$K$361</definedName>
    <definedName name="_30_Set_95">TOTINDICE!$B$373:$K$373</definedName>
    <definedName name="_30_Set_96">TOTINDICE!$B$385:$K$385</definedName>
    <definedName name="_30_Set_97">TOTINDICE!$B$397:$K$397</definedName>
    <definedName name="_30_Set_98">TOTINDICE!$B$409:$K$409</definedName>
    <definedName name="_30_Set_99">TOTINDICE!$B$421:$K$421</definedName>
    <definedName name="_31_Ago_00">TOTINDICE!$B$432:$K$432</definedName>
    <definedName name="_31_Ago_01">TOTINDICE!$B$444:$K$444</definedName>
    <definedName name="_31_Ago_02">TOTINDICE!$B$456:$K$456</definedName>
    <definedName name="_31_Ago_65">TOTINDICE!$B$12:$K$12</definedName>
    <definedName name="_31_Ago_66">TOTINDICE!$B$24:$K$24</definedName>
    <definedName name="_31_Ago_67">TOTINDICE!$B$36:$K$36</definedName>
    <definedName name="_31_Ago_68">TOTINDICE!$B$48:$K$48</definedName>
    <definedName name="_31_Ago_69">TOTINDICE!$B$60:$K$60</definedName>
    <definedName name="_31_Ago_70">TOTINDICE!$B$72:$K$72</definedName>
    <definedName name="_31_Ago_71">TOTINDICE!$B$84:$K$84</definedName>
    <definedName name="_31_Ago_72">TOTINDICE!$B$96:$K$96</definedName>
    <definedName name="_31_Ago_73">TOTINDICE!$B$108:$K$108</definedName>
    <definedName name="_31_Ago_74">TOTINDICE!$B$120:$K$120</definedName>
    <definedName name="_31_Ago_75">TOTINDICE!$B$132:$K$132</definedName>
    <definedName name="_31_Ago_76">TOTINDICE!$B$144:$K$144</definedName>
    <definedName name="_31_Ago_77">TOTINDICE!$B$156:$K$156</definedName>
    <definedName name="_31_Ago_78">TOTINDICE!$B$168:$K$168</definedName>
    <definedName name="_31_Ago_79">TOTINDICE!$B$180:$K$180</definedName>
    <definedName name="_31_Ago_80">TOTINDICE!$B$192:$K$192</definedName>
    <definedName name="_31_Ago_81">TOTINDICE!$B$204:$K$204</definedName>
    <definedName name="_31_Ago_82">TOTINDICE!$B$216:$K$216</definedName>
    <definedName name="_31_Ago_83">TOTINDICE!$B$228:$K$228</definedName>
    <definedName name="_31_Ago_84">TOTINDICE!$B$240:$K$240</definedName>
    <definedName name="_31_Ago_85">TOTINDICE!$B$252:$K$252</definedName>
    <definedName name="_31_Ago_86">TOTINDICE!$B$264:$K$264</definedName>
    <definedName name="_31_Ago_87">TOTINDICE!$B$276:$K$276</definedName>
    <definedName name="_31_Ago_88">TOTINDICE!$B$288:$K$288</definedName>
    <definedName name="_31_Ago_89">TOTINDICE!$B$300:$K$300</definedName>
    <definedName name="_31_Ago_90">TOTINDICE!$B$312:$K$312</definedName>
    <definedName name="_31_Ago_91">TOTINDICE!$B$324:$K$324</definedName>
    <definedName name="_31_Ago_92">TOTINDICE!$B$336:$K$336</definedName>
    <definedName name="_31_Ago_93">TOTINDICE!$B$348:$K$348</definedName>
    <definedName name="_31_Ago_94">TOTINDICE!$B$360:$K$360</definedName>
    <definedName name="_31_Ago_95">TOTINDICE!$B$372:$K$372</definedName>
    <definedName name="_31_Ago_96">TOTINDICE!$B$384:$K$384</definedName>
    <definedName name="_31_Ago_97">TOTINDICE!$B$396:$K$396</definedName>
    <definedName name="_31_Ago_98">TOTINDICE!$B$408:$K$408</definedName>
    <definedName name="_31_Ago_99">TOTINDICE!$B$420:$K$420</definedName>
    <definedName name="_31_Dez_00">TOTINDICE!$B$436:$K$436</definedName>
    <definedName name="_31_Dez_01">TOTINDICE!$B$448:$K$448</definedName>
    <definedName name="_31_Dez_02">TOTINDICE!$B$460:$K$460</definedName>
    <definedName name="_31_Dez_64">TOTINDICE!$B$4:$K$4</definedName>
    <definedName name="_31_Dez_65">TOTINDICE!$B$16:$K$16</definedName>
    <definedName name="_31_Dez_66">TOTINDICE!$B$28:$K$28</definedName>
    <definedName name="_31_Dez_67">TOTINDICE!$B$40:$K$40</definedName>
    <definedName name="_31_Dez_68">TOTINDICE!$B$52:$K$52</definedName>
    <definedName name="_31_Dez_69">TOTINDICE!$B$64:$K$64</definedName>
    <definedName name="_31_Dez_70">TOTINDICE!$B$76:$K$76</definedName>
    <definedName name="_31_Dez_71">TOTINDICE!$B$88:$K$88</definedName>
    <definedName name="_31_Dez_72">TOTINDICE!$B$100:$K$100</definedName>
    <definedName name="_31_Dez_73">TOTINDICE!$B$112:$K$112</definedName>
    <definedName name="_31_Dez_74">TOTINDICE!$B$124:$K$124</definedName>
    <definedName name="_31_Dez_75">TOTINDICE!$B$136:$K$136</definedName>
    <definedName name="_31_Dez_76">TOTINDICE!$B$148:$K$148</definedName>
    <definedName name="_31_Dez_77">TOTINDICE!$B$160:$K$160</definedName>
    <definedName name="_31_Dez_78">TOTINDICE!$B$172:$K$172</definedName>
    <definedName name="_31_Dez_79">TOTINDICE!$B$184:$K$184</definedName>
    <definedName name="_31_Dez_80">TOTINDICE!$B$196:$K$196</definedName>
    <definedName name="_31_Dez_81">TOTINDICE!$B$208:$K$208</definedName>
    <definedName name="_31_Dez_82">TOTINDICE!$B$220:$K$220</definedName>
    <definedName name="_31_Dez_83">TOTINDICE!$B$232:$K$232</definedName>
    <definedName name="_31_Dez_84">TOTINDICE!$B$244:$K$244</definedName>
    <definedName name="_31_Dez_85">TOTINDICE!$B$256:$K$256</definedName>
    <definedName name="_31_Dez_86">TOTINDICE!$B$268:$K$268</definedName>
    <definedName name="_31_Dez_87">TOTINDICE!$B$280:$K$280</definedName>
    <definedName name="_31_Dez_88">TOTINDICE!$B$292:$K$292</definedName>
    <definedName name="_31_Dez_89">TOTINDICE!$B$304:$K$304</definedName>
    <definedName name="_31_Dez_90">TOTINDICE!$B$316:$K$316</definedName>
    <definedName name="_31_Dez_91">TOTINDICE!$B$328:$K$328</definedName>
    <definedName name="_31_Dez_92">TOTINDICE!$B$340:$K$340</definedName>
    <definedName name="_31_Dez_93">TOTINDICE!$B$352:$K$352</definedName>
    <definedName name="_31_Dez_94">TOTINDICE!$B$364:$K$364</definedName>
    <definedName name="_31_Dez_95">TOTINDICE!$B$376:$K$376</definedName>
    <definedName name="_31_Dez_96">TOTINDICE!$B$388:$K$388</definedName>
    <definedName name="_31_Dez_97">TOTINDICE!$B$400:$K$400</definedName>
    <definedName name="_31_Dez_98">TOTINDICE!$B$412:$K$412</definedName>
    <definedName name="_31_Dez_99">TOTINDICE!$B$424:$K$424</definedName>
    <definedName name="_31_Jan_00">TOTINDICE!$B$425:$K$425</definedName>
    <definedName name="_31_Jan_01">TOTINDICE!$B$437:$K$437</definedName>
    <definedName name="_31_Jan_02">TOTINDICE!$B$449:$K$449</definedName>
    <definedName name="_31_Jan_65">TOTINDICE!$B$5:$K$5</definedName>
    <definedName name="_31_Jan_66">TOTINDICE!$B$17:$K$17</definedName>
    <definedName name="_31_Jan_67">TOTINDICE!$B$29:$K$29</definedName>
    <definedName name="_31_Jan_68">TOTINDICE!$B$41:$K$41</definedName>
    <definedName name="_31_Jan_69">TOTINDICE!$B$53:$K$53</definedName>
    <definedName name="_31_Jan_70">TOTINDICE!$B$65:$K$65</definedName>
    <definedName name="_31_Jan_71">TOTINDICE!$B$77:$K$77</definedName>
    <definedName name="_31_Jan_72">TOTINDICE!$B$89:$K$89</definedName>
    <definedName name="_31_Jan_73">TOTINDICE!$B$101:$K$101</definedName>
    <definedName name="_31_Jan_74">TOTINDICE!$B$113:$K$113</definedName>
    <definedName name="_31_Jan_75">TOTINDICE!$B$125:$K$125</definedName>
    <definedName name="_31_Jan_76">TOTINDICE!$B$137:$K$137</definedName>
    <definedName name="_31_Jan_77">TOTINDICE!$B$149:$K$149</definedName>
    <definedName name="_31_Jan_78">TOTINDICE!$B$161:$K$161</definedName>
    <definedName name="_31_Jan_79">TOTINDICE!$B$173:$K$173</definedName>
    <definedName name="_31_Jan_80">TOTINDICE!$B$185:$K$185</definedName>
    <definedName name="_31_Jan_81">TOTINDICE!$B$197:$K$197</definedName>
    <definedName name="_31_Jan_82">TOTINDICE!$B$209:$K$209</definedName>
    <definedName name="_31_Jan_83">TOTINDICE!$B$221:$K$221</definedName>
    <definedName name="_31_Jan_84">TOTINDICE!$B$233:$K$233</definedName>
    <definedName name="_31_Jan_85">TOTINDICE!$B$245:$K$245</definedName>
    <definedName name="_31_Jan_86">TOTINDICE!$B$257:$K$257</definedName>
    <definedName name="_31_Jan_87">TOTINDICE!$B$269:$K$269</definedName>
    <definedName name="_31_Jan_88">TOTINDICE!$B$281:$K$281</definedName>
    <definedName name="_31_Jan_89">TOTINDICE!$B$293:$K$293</definedName>
    <definedName name="_31_Jan_90">TOTINDICE!$B$305:$K$305</definedName>
    <definedName name="_31_Jan_91">TOTINDICE!$B$317:$K$317</definedName>
    <definedName name="_31_Jan_92">TOTINDICE!$B$329:$K$329</definedName>
    <definedName name="_31_Jan_93">TOTINDICE!$B$341:$K$341</definedName>
    <definedName name="_31_Jan_94">TOTINDICE!$B$353:$K$353</definedName>
    <definedName name="_31_Jan_95">TOTINDICE!$B$365:$K$365</definedName>
    <definedName name="_31_Jan_96">TOTINDICE!$B$377:$K$377</definedName>
    <definedName name="_31_Jan_97">TOTINDICE!$B$389:$K$389</definedName>
    <definedName name="_31_Jan_98">TOTINDICE!$B$401:$K$401</definedName>
    <definedName name="_31_Jan_99">TOTINDICE!$B$413:$K$413</definedName>
    <definedName name="_31_Jul_00">TOTINDICE!$B$431:$K$431</definedName>
    <definedName name="_31_Jul_01">TOTINDICE!$B$443:$K$443</definedName>
    <definedName name="_31_Jul_02">TOTINDICE!$B$455:$K$455</definedName>
    <definedName name="_31_Jul_65">TOTINDICE!$B$11:$K$11</definedName>
    <definedName name="_31_Jul_66">TOTINDICE!$B$23:$K$23</definedName>
    <definedName name="_31_Jul_67">TOTINDICE!$B$35:$K$35</definedName>
    <definedName name="_31_Jul_68">TOTINDICE!$B$47:$K$47</definedName>
    <definedName name="_31_Jul_69">TOTINDICE!$B$59:$K$59</definedName>
    <definedName name="_31_Jul_70">TOTINDICE!$B$71:$K$71</definedName>
    <definedName name="_31_Jul_71">TOTINDICE!$B$83:$K$83</definedName>
    <definedName name="_31_Jul_72">TOTINDICE!$B$95:$K$95</definedName>
    <definedName name="_31_Jul_73">TOTINDICE!$B$107:$K$107</definedName>
    <definedName name="_31_Jul_74">TOTINDICE!$B$119:$K$119</definedName>
    <definedName name="_31_Jul_75">TOTINDICE!$B$131:$K$131</definedName>
    <definedName name="_31_Jul_76">TOTINDICE!$B$143:$K$143</definedName>
    <definedName name="_31_Jul_77">TOTINDICE!$B$155:$K$155</definedName>
    <definedName name="_31_Jul_78">TOTINDICE!$B$167:$K$167</definedName>
    <definedName name="_31_Jul_79">TOTINDICE!$B$179:$K$179</definedName>
    <definedName name="_31_Jul_80">TOTINDICE!$B$191:$K$191</definedName>
    <definedName name="_31_Jul_81">TOTINDICE!$B$203:$K$203</definedName>
    <definedName name="_31_Jul_82">TOTINDICE!$B$215:$K$215</definedName>
    <definedName name="_31_Jul_83">TOTINDICE!$B$227:$K$227</definedName>
    <definedName name="_31_Jul_84">TOTINDICE!$B$239:$K$239</definedName>
    <definedName name="_31_Jul_85">TOTINDICE!$B$251:$K$251</definedName>
    <definedName name="_31_Jul_86">TOTINDICE!$B$263:$K$263</definedName>
    <definedName name="_31_Jul_87">TOTINDICE!$B$275:$K$275</definedName>
    <definedName name="_31_Jul_88">TOTINDICE!$B$287:$K$287</definedName>
    <definedName name="_31_Jul_89">TOTINDICE!$B$299:$K$299</definedName>
    <definedName name="_31_Jul_90">TOTINDICE!$B$311:$K$311</definedName>
    <definedName name="_31_Jul_91">TOTINDICE!$B$323:$K$323</definedName>
    <definedName name="_31_Jul_92">TOTINDICE!$B$335:$K$335</definedName>
    <definedName name="_31_Jul_93">TOTINDICE!$B$347:$K$347</definedName>
    <definedName name="_31_Jul_94">TOTINDICE!$B$359:$K$359</definedName>
    <definedName name="_31_Jul_95">TOTINDICE!$B$371:$K$371</definedName>
    <definedName name="_31_Jul_96">TOTINDICE!$B$383:$K$383</definedName>
    <definedName name="_31_Jul_97">TOTINDICE!$B$395:$K$395</definedName>
    <definedName name="_31_Jul_98">TOTINDICE!$B$407:$K$407</definedName>
    <definedName name="_31_Jul_99">TOTINDICE!$B$419:$K$419</definedName>
    <definedName name="_31_Mai_00">TOTINDICE!$B$429:$K$429</definedName>
    <definedName name="_31_Mai_01">TOTINDICE!$B$441:$K$441</definedName>
    <definedName name="_31_Mai_02">TOTINDICE!$B$453:$K$453</definedName>
    <definedName name="_31_Mai_65">TOTINDICE!$B$9:$K$9</definedName>
    <definedName name="_31_Mai_66">TOTINDICE!$B$21:$K$21</definedName>
    <definedName name="_31_Mai_67">TOTINDICE!$B$33:$K$33</definedName>
    <definedName name="_31_Mai_68">TOTINDICE!$B$45:$K$45</definedName>
    <definedName name="_31_Mai_69">TOTINDICE!$B$57:$K$57</definedName>
    <definedName name="_31_Mai_70">TOTINDICE!$B$69:$K$69</definedName>
    <definedName name="_31_Mai_71">TOTINDICE!$B$81:$K$81</definedName>
    <definedName name="_31_Mai_72">TOTINDICE!$B$93:$K$93</definedName>
    <definedName name="_31_Mai_73">TOTINDICE!$B$105:$K$105</definedName>
    <definedName name="_31_Mai_74">TOTINDICE!$B$117:$K$117</definedName>
    <definedName name="_31_Mai_75">TOTINDICE!$B$129:$K$129</definedName>
    <definedName name="_31_Mai_76">TOTINDICE!$B$141:$K$141</definedName>
    <definedName name="_31_Mai_77">TOTINDICE!$B$153:$K$153</definedName>
    <definedName name="_31_Mai_78">TOTINDICE!$B$165:$K$165</definedName>
    <definedName name="_31_Mai_79">TOTINDICE!$B$177:$K$177</definedName>
    <definedName name="_31_Mai_80">TOTINDICE!$B$189:$K$189</definedName>
    <definedName name="_31_Mai_81">TOTINDICE!$B$201:$K$201</definedName>
    <definedName name="_31_Mai_82">TOTINDICE!$B$213:$K$213</definedName>
    <definedName name="_31_Mai_83">TOTINDICE!$B$225:$K$225</definedName>
    <definedName name="_31_Mai_84">TOTINDICE!$B$237:$K$237</definedName>
    <definedName name="_31_Mai_85">TOTINDICE!$B$249:$K$249</definedName>
    <definedName name="_31_Mai_86">TOTINDICE!$B$261:$K$261</definedName>
    <definedName name="_31_Mai_87">TOTINDICE!$B$273:$K$273</definedName>
    <definedName name="_31_Mai_88">TOTINDICE!$B$285:$K$285</definedName>
    <definedName name="_31_Mai_89">TOTINDICE!$B$297:$K$297</definedName>
    <definedName name="_31_Mai_90">TOTINDICE!$B$309:$K$309</definedName>
    <definedName name="_31_Mai_91">TOTINDICE!$B$321:$K$321</definedName>
    <definedName name="_31_Mai_92">TOTINDICE!$B$333:$K$333</definedName>
    <definedName name="_31_Mai_93">TOTINDICE!$B$345:$K$345</definedName>
    <definedName name="_31_Mai_94">TOTINDICE!$B$357:$K$357</definedName>
    <definedName name="_31_Mai_95">TOTINDICE!$B$369:$K$369</definedName>
    <definedName name="_31_Mai_96">TOTINDICE!$B$381:$K$381</definedName>
    <definedName name="_31_Mai_97">TOTINDICE!$B$393:$K$393</definedName>
    <definedName name="_31_Mai_98">TOTINDICE!$B$405:$K$405</definedName>
    <definedName name="_31_Mai_99">TOTINDICE!$B$417:$K$417</definedName>
    <definedName name="_31_Mar_00">TOTINDICE!$B$427:$K$427</definedName>
    <definedName name="_31_Mar_01">TOTINDICE!$B$439:$K$439</definedName>
    <definedName name="_31_Mar_02">TOTINDICE!$B$451:$K$451</definedName>
    <definedName name="_31_Mar_65">TOTINDICE!$B$7:$K$7</definedName>
    <definedName name="_31_Mar_66">TOTINDICE!$B$19:$K$19</definedName>
    <definedName name="_31_Mar_67">TOTINDICE!$B$31:$K$31</definedName>
    <definedName name="_31_Mar_68">TOTINDICE!$B$43:$K$43</definedName>
    <definedName name="_31_Mar_69">TOTINDICE!$B$55:$K$55</definedName>
    <definedName name="_31_Mar_70">TOTINDICE!$B$67:$K$67</definedName>
    <definedName name="_31_Mar_71">TOTINDICE!$B$79:$K$79</definedName>
    <definedName name="_31_Mar_72">TOTINDICE!$B$91:$K$91</definedName>
    <definedName name="_31_Mar_73">TOTINDICE!$B$103:$K$103</definedName>
    <definedName name="_31_Mar_74">TOTINDICE!$B$115:$K$115</definedName>
    <definedName name="_31_Mar_75">TOTINDICE!$B$127:$K$127</definedName>
    <definedName name="_31_Mar_76">TOTINDICE!$B$139:$K$139</definedName>
    <definedName name="_31_Mar_77">TOTINDICE!$B$151:$K$151</definedName>
    <definedName name="_31_Mar_78">TOTINDICE!$B$163:$K$163</definedName>
    <definedName name="_31_Mar_79">TOTINDICE!$B$175:$K$175</definedName>
    <definedName name="_31_Mar_80">TOTINDICE!$B$187:$K$187</definedName>
    <definedName name="_31_Mar_81">TOTINDICE!$B$199:$K$199</definedName>
    <definedName name="_31_Mar_82">TOTINDICE!$B$211:$K$211</definedName>
    <definedName name="_31_Mar_83">TOTINDICE!$B$223:$K$223</definedName>
    <definedName name="_31_Mar_84">TOTINDICE!$B$235:$K$235</definedName>
    <definedName name="_31_Mar_85">TOTINDICE!$B$247:$K$247</definedName>
    <definedName name="_31_Mar_86">TOTINDICE!$B$259:$K$259</definedName>
    <definedName name="_31_Mar_87">TOTINDICE!$B$271:$K$271</definedName>
    <definedName name="_31_Mar_88">TOTINDICE!$B$283:$K$283</definedName>
    <definedName name="_31_Mar_89">TOTINDICE!$B$295:$K$295</definedName>
    <definedName name="_31_Mar_90">TOTINDICE!$B$307:$K$307</definedName>
    <definedName name="_31_Mar_91">TOTINDICE!$B$319:$K$319</definedName>
    <definedName name="_31_Mar_92">TOTINDICE!$B$331:$K$331</definedName>
    <definedName name="_31_Mar_93">TOTINDICE!$B$343:$K$343</definedName>
    <definedName name="_31_Mar_94">TOTINDICE!$B$355:$K$355</definedName>
    <definedName name="_31_Mar_95">TOTINDICE!$B$367:$K$367</definedName>
    <definedName name="_31_Mar_96">TOTINDICE!$B$379:$K$379</definedName>
    <definedName name="_31_Mar_97">TOTINDICE!$B$391:$K$391</definedName>
    <definedName name="_31_Mar_98">TOTINDICE!$B$403:$K$403</definedName>
    <definedName name="_31_Mar_99">TOTINDICE!$B$415:$K$415</definedName>
    <definedName name="_31_Out_00">TOTINDICE!$B$434:$K$434</definedName>
    <definedName name="_31_Out_01">TOTINDICE!$B$446:$K$446</definedName>
    <definedName name="_31_Out_02">TOTINDICE!$B$458:$K$458</definedName>
    <definedName name="_31_Out_64">TOTINDICE!$B$2:$K$2</definedName>
    <definedName name="_31_Out_65">TOTINDICE!$B$14:$K$14</definedName>
    <definedName name="_31_Out_66">TOTINDICE!$B$26:$K$26</definedName>
    <definedName name="_31_Out_67">TOTINDICE!$B$38:$K$38</definedName>
    <definedName name="_31_Out_68">TOTINDICE!$B$50:$K$50</definedName>
    <definedName name="_31_Out_69">TOTINDICE!$B$62:$K$62</definedName>
    <definedName name="_31_Out_70">TOTINDICE!$B$74:$K$74</definedName>
    <definedName name="_31_Out_71">TOTINDICE!$B$86:$K$86</definedName>
    <definedName name="_31_Out_72">TOTINDICE!$B$98:$K$98</definedName>
    <definedName name="_31_Out_73">TOTINDICE!$B$110:$K$110</definedName>
    <definedName name="_31_Out_74">TOTINDICE!$B$122:$K$122</definedName>
    <definedName name="_31_Out_75">TOTINDICE!$B$134:$K$134</definedName>
    <definedName name="_31_Out_76">TOTINDICE!$B$146:$K$146</definedName>
    <definedName name="_31_Out_77">TOTINDICE!$B$158:$K$158</definedName>
    <definedName name="_31_Out_78">TOTINDICE!$B$170:$K$170</definedName>
    <definedName name="_31_Out_79">TOTINDICE!$B$182:$K$182</definedName>
    <definedName name="_31_Out_80">TOTINDICE!$B$194:$K$194</definedName>
    <definedName name="_31_Out_81">TOTINDICE!$B$206:$K$206</definedName>
    <definedName name="_31_Out_82">TOTINDICE!$B$218:$K$218</definedName>
    <definedName name="_31_Out_83">TOTINDICE!$B$230:$K$230</definedName>
    <definedName name="_31_Out_84">TOTINDICE!$B$242:$K$242</definedName>
    <definedName name="_31_Out_85">TOTINDICE!$B$254:$K$254</definedName>
    <definedName name="_31_Out_86">TOTINDICE!$B$266:$K$266</definedName>
    <definedName name="_31_Out_87">TOTINDICE!$B$278:$K$278</definedName>
    <definedName name="_31_Out_88">TOTINDICE!$B$290:$K$290</definedName>
    <definedName name="_31_Out_89">TOTINDICE!$B$302:$K$302</definedName>
    <definedName name="_31_Out_90">TOTINDICE!$B$314:$K$314</definedName>
    <definedName name="_31_Out_91">TOTINDICE!$B$326:$K$326</definedName>
    <definedName name="_31_Out_92">TOTINDICE!$B$338:$K$338</definedName>
    <definedName name="_31_Out_93">TOTINDICE!$B$350:$K$350</definedName>
    <definedName name="_31_Out_94">TOTINDICE!$B$362:$K$362</definedName>
    <definedName name="_31_Out_95">TOTINDICE!$B$374:$K$374</definedName>
    <definedName name="_31_Out_96">TOTINDICE!$B$386:$K$386</definedName>
    <definedName name="_31_Out_97">TOTINDICE!$B$398:$K$398</definedName>
    <definedName name="_31_Out_98">TOTINDICE!$B$410:$K$410</definedName>
    <definedName name="_31_Out_99">TOTINDICE!$B$422:$K$422</definedName>
    <definedName name="dd_mmm_aa">TOTINDICE!$B$2:$K$500</definedName>
    <definedName name="indice">TOTINDICE!$B$2:$B$500</definedName>
    <definedName name="indice_2">TOTINDICE!$D$2:$D$500</definedName>
    <definedName name="SEM_BTN">TOTINDICE!$C$2:$C$500</definedName>
    <definedName name="SEM_I.P.C.fev_91">TOTINDICE!$E$2:$E$500</definedName>
    <definedName name="TOTINDICE">TOTINDICE!$A$1:$K$2000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D23" i="2"/>
  <c r="D25" i="2"/>
  <c r="C19" i="2"/>
  <c r="C17" i="2"/>
  <c r="C20" i="2" s="1"/>
  <c r="D20" i="2"/>
  <c r="E20" i="2"/>
  <c r="D26" i="2"/>
  <c r="G20" i="2"/>
  <c r="F20" i="2"/>
  <c r="A326" i="1"/>
  <c r="D10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C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C18" i="2" l="1"/>
</calcChain>
</file>

<file path=xl/sharedStrings.xml><?xml version="1.0" encoding="utf-8"?>
<sst xmlns="http://schemas.openxmlformats.org/spreadsheetml/2006/main" count="33" uniqueCount="32">
  <si>
    <t>indice</t>
  </si>
  <si>
    <t>SEM BTN</t>
  </si>
  <si>
    <t xml:space="preserve">indice 2 </t>
  </si>
  <si>
    <t>SEM I.P.C.fev/91</t>
  </si>
  <si>
    <t xml:space="preserve">AO JUD. 21 </t>
  </si>
  <si>
    <t xml:space="preserve">Nucleo de Execução </t>
  </si>
  <si>
    <t>Dr.</t>
  </si>
  <si>
    <t>Tabua de verificação de Cálculos</t>
  </si>
  <si>
    <t>Processo nº</t>
  </si>
  <si>
    <t>1ªvfpsp</t>
  </si>
  <si>
    <t>Requerentes:</t>
  </si>
  <si>
    <t>Requerida:</t>
  </si>
  <si>
    <t xml:space="preserve">Prefeitura do Município de São Paulo </t>
  </si>
  <si>
    <t>Atualiza até:</t>
  </si>
  <si>
    <t>Citação:</t>
  </si>
  <si>
    <t>dd/mmm/aa</t>
  </si>
  <si>
    <t xml:space="preserve">Quantum </t>
  </si>
  <si>
    <t>Quan.Debeat.</t>
  </si>
  <si>
    <t>Devido</t>
  </si>
  <si>
    <t>TOT_FUNFIN</t>
  </si>
  <si>
    <t>TOT_FUNPREV</t>
  </si>
  <si>
    <t>Debeatur</t>
  </si>
  <si>
    <t>atualizado</t>
  </si>
  <si>
    <t>IPREM</t>
  </si>
  <si>
    <t>HSPM</t>
  </si>
  <si>
    <t>Totais</t>
  </si>
  <si>
    <t>Valores alcançados para este autor:</t>
  </si>
  <si>
    <t>Valor principal líquido :</t>
  </si>
  <si>
    <t>Acresce-se</t>
  </si>
  <si>
    <t>IPREM :</t>
  </si>
  <si>
    <t>HSPM :</t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</si>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</sst>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R$&quot;\ #,##0.00;\-&quot;R$&quot;\ #,##0.00"/>
    <numFmt numFmtId="165" formatCode="_(&quot;R$&quot;* #,##0.00_);_(&quot;R$&quot;* \(#,##0.00\);_(&quot;R$&quot;* &quot;-&quot;??_);_(@_)"/>
    <numFmt numFmtId="166" formatCode="0.00000%"/>
    <numFmt numFmtId="167" formatCode="0.000000"/>
    <numFmt numFmtId="168" formatCode="0.0000000"/>
    <numFmt numFmtId="169" formatCode="0.00000000"/>
    <numFmt numFmtId="170" formatCode="0.000000%"/>
    <numFmt numFmtId="171" formatCode="&quot;R$&quot;\ 0.00"/>
    <numFmt numFmtId="172" formatCode="&quot;R$&quot;\ #,#00.00"/>
    <numFmt numFmtId="173" formatCode="\R\$#,#00.00"/>
  </numFmts>
  <fonts count="8">
    <font>
      <sz val="12"/>
      <name val="Arial"/>
    </font>
    <font>
      <sz val="12"/>
      <name val="Arial"/>
    </font>
    <font>
      <sz val="13"/>
      <name val="Century"/>
      <family val="1"/>
    </font>
    <font>
      <b/>
      <sz val="13"/>
      <name val="Century"/>
      <family val="1"/>
    </font>
    <font>
      <i/>
      <sz val="13"/>
      <name val="Century"/>
      <family val="1"/>
    </font>
    <font>
      <b/>
      <i/>
      <u/>
      <sz val="13"/>
      <name val="Century"/>
      <family val="1"/>
    </font>
    <font>
      <sz val="12"/>
      <name val="LubalinGraph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92">
    <xf numFmtId="0" fontId="0" fillId="0" borderId="0" xfId="0"/>
    <xf numFmtId="167" fontId="0" fillId="0" borderId="0" xfId="0" applyNumberFormat="1"/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0" xfId="0" applyNumberFormat="1" applyAlignment="1">
      <alignment horizontal="center"/>
    </xf>
    <xf numFmtId="15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Continuous"/>
    </xf>
    <xf numFmtId="0" fontId="3" fillId="0" borderId="7" xfId="0" applyFont="1" applyBorder="1" applyAlignment="1">
      <alignment horizontal="center"/>
    </xf>
    <xf numFmtId="15" fontId="2" fillId="0" borderId="0" xfId="0" applyNumberFormat="1" applyFont="1" applyAlignment="1">
      <alignment horizontal="centerContinuous"/>
    </xf>
    <xf numFmtId="0" fontId="2" fillId="0" borderId="8" xfId="0" applyFont="1" applyBorder="1" applyAlignment="1">
      <alignment horizontal="centerContinuous"/>
    </xf>
    <xf numFmtId="0" fontId="3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68" fontId="2" fillId="0" borderId="0" xfId="0" applyNumberFormat="1" applyFont="1"/>
    <xf numFmtId="0" fontId="2" fillId="0" borderId="0" xfId="0" applyFont="1" applyAlignment="1">
      <alignment horizontal="centerContinuous"/>
    </xf>
    <xf numFmtId="17" fontId="2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Continuous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171" fontId="2" fillId="0" borderId="1" xfId="0" applyNumberFormat="1" applyFont="1" applyBorder="1" applyAlignment="1">
      <alignment horizontal="centerContinuous"/>
    </xf>
    <xf numFmtId="15" fontId="2" fillId="0" borderId="6" xfId="0" applyNumberFormat="1" applyFont="1" applyBorder="1" applyAlignment="1">
      <alignment horizontal="center"/>
    </xf>
    <xf numFmtId="172" fontId="2" fillId="0" borderId="3" xfId="0" applyNumberFormat="1" applyFont="1" applyBorder="1" applyAlignment="1">
      <alignment horizontal="centerContinuous"/>
    </xf>
    <xf numFmtId="15" fontId="2" fillId="0" borderId="4" xfId="0" applyNumberFormat="1" applyFont="1" applyBorder="1" applyAlignment="1">
      <alignment horizontal="center"/>
    </xf>
    <xf numFmtId="172" fontId="2" fillId="0" borderId="0" xfId="1" applyNumberFormat="1" applyFont="1" applyBorder="1" applyAlignment="1">
      <alignment horizontal="centerContinuous"/>
    </xf>
    <xf numFmtId="0" fontId="2" fillId="0" borderId="0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166" fontId="2" fillId="0" borderId="2" xfId="0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73" fontId="3" fillId="0" borderId="8" xfId="0" applyNumberFormat="1" applyFont="1" applyBorder="1" applyAlignment="1">
      <alignment horizontal="centerContinuous"/>
    </xf>
    <xf numFmtId="167" fontId="3" fillId="0" borderId="0" xfId="0" applyNumberFormat="1" applyFont="1" applyAlignment="1">
      <alignment horizontal="left"/>
    </xf>
    <xf numFmtId="165" fontId="4" fillId="0" borderId="0" xfId="1" applyFont="1"/>
    <xf numFmtId="165" fontId="5" fillId="0" borderId="0" xfId="1" applyFont="1"/>
    <xf numFmtId="165" fontId="2" fillId="0" borderId="0" xfId="1" applyFont="1"/>
    <xf numFmtId="165" fontId="3" fillId="0" borderId="0" xfId="1" applyFont="1" applyBorder="1" applyAlignment="1">
      <alignment horizontal="left"/>
    </xf>
    <xf numFmtId="165" fontId="2" fillId="0" borderId="8" xfId="1" applyFont="1" applyBorder="1"/>
    <xf numFmtId="165" fontId="3" fillId="0" borderId="0" xfId="1" applyFont="1" applyBorder="1" applyAlignment="1">
      <alignment horizontal="centerContinuous"/>
    </xf>
    <xf numFmtId="165" fontId="2" fillId="0" borderId="5" xfId="1" applyFont="1" applyBorder="1" applyAlignment="1">
      <alignment horizontal="centerContinuous"/>
    </xf>
    <xf numFmtId="165" fontId="2" fillId="0" borderId="1" xfId="1" applyFont="1" applyBorder="1" applyAlignment="1">
      <alignment horizontal="centerContinuous"/>
    </xf>
    <xf numFmtId="165" fontId="2" fillId="0" borderId="6" xfId="1" applyFont="1" applyBorder="1" applyAlignment="1">
      <alignment horizontal="center"/>
    </xf>
    <xf numFmtId="165" fontId="2" fillId="0" borderId="4" xfId="1" applyFont="1" applyBorder="1" applyAlignment="1">
      <alignment horizontal="center"/>
    </xf>
    <xf numFmtId="165" fontId="2" fillId="0" borderId="3" xfId="1" applyFont="1" applyBorder="1" applyAlignment="1">
      <alignment horizontal="center"/>
    </xf>
    <xf numFmtId="165" fontId="2" fillId="0" borderId="7" xfId="1" applyFont="1" applyBorder="1"/>
    <xf numFmtId="165" fontId="2" fillId="0" borderId="0" xfId="1" applyFont="1" applyBorder="1"/>
    <xf numFmtId="165" fontId="2" fillId="0" borderId="0" xfId="1" applyFont="1" applyBorder="1" applyAlignment="1">
      <alignment horizontal="center"/>
    </xf>
    <xf numFmtId="0" fontId="0" fillId="0" borderId="9" xfId="0" applyBorder="1" applyAlignment="1">
      <alignment horizontal="center"/>
    </xf>
    <xf numFmtId="15" fontId="0" fillId="0" borderId="10" xfId="0" applyNumberFormat="1" applyBorder="1" applyAlignment="1">
      <alignment horizontal="center"/>
    </xf>
    <xf numFmtId="4" fontId="0" fillId="0" borderId="11" xfId="0" applyNumberForma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167" fontId="0" fillId="0" borderId="11" xfId="0" applyNumberFormat="1" applyBorder="1" applyAlignment="1">
      <alignment horizontal="centerContinuous"/>
    </xf>
    <xf numFmtId="15" fontId="0" fillId="0" borderId="10" xfId="0" applyNumberFormat="1" applyBorder="1" applyAlignment="1">
      <alignment horizontal="centerContinuous"/>
    </xf>
    <xf numFmtId="167" fontId="6" fillId="0" borderId="11" xfId="0" applyNumberFormat="1" applyFont="1" applyBorder="1" applyAlignment="1">
      <alignment horizontal="centerContinuous"/>
    </xf>
    <xf numFmtId="167" fontId="6" fillId="0" borderId="11" xfId="0" applyNumberFormat="1" applyFont="1" applyBorder="1" applyAlignment="1">
      <alignment horizontal="center"/>
    </xf>
    <xf numFmtId="0" fontId="0" fillId="0" borderId="11" xfId="0" applyBorder="1"/>
    <xf numFmtId="15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6" fontId="0" fillId="0" borderId="15" xfId="0" applyNumberFormat="1" applyBorder="1"/>
    <xf numFmtId="170" fontId="0" fillId="0" borderId="15" xfId="0" applyNumberFormat="1" applyBorder="1"/>
    <xf numFmtId="166" fontId="0" fillId="0" borderId="15" xfId="0" applyNumberFormat="1" applyBorder="1" applyAlignment="1">
      <alignment horizontal="centerContinuous"/>
    </xf>
    <xf numFmtId="166" fontId="0" fillId="0" borderId="15" xfId="0" applyNumberFormat="1" applyBorder="1" applyAlignment="1">
      <alignment horizontal="center"/>
    </xf>
    <xf numFmtId="166" fontId="6" fillId="0" borderId="15" xfId="0" applyNumberFormat="1" applyFont="1" applyBorder="1" applyAlignment="1">
      <alignment horizontal="center"/>
    </xf>
    <xf numFmtId="0" fontId="0" fillId="0" borderId="16" xfId="0" applyBorder="1"/>
    <xf numFmtId="0" fontId="0" fillId="0" borderId="9" xfId="0" applyBorder="1"/>
    <xf numFmtId="4" fontId="0" fillId="0" borderId="10" xfId="0" applyNumberFormat="1" applyBorder="1" applyAlignment="1">
      <alignment horizontal="centerContinuous"/>
    </xf>
    <xf numFmtId="0" fontId="0" fillId="0" borderId="10" xfId="0" applyBorder="1" applyAlignment="1">
      <alignment horizontal="centerContinuous"/>
    </xf>
    <xf numFmtId="167" fontId="0" fillId="0" borderId="10" xfId="0" applyNumberFormat="1" applyBorder="1" applyAlignment="1">
      <alignment horizontal="centerContinuous"/>
    </xf>
    <xf numFmtId="168" fontId="0" fillId="0" borderId="10" xfId="0" applyNumberFormat="1" applyBorder="1" applyAlignment="1">
      <alignment horizontal="centerContinuous"/>
    </xf>
    <xf numFmtId="169" fontId="0" fillId="0" borderId="10" xfId="0" applyNumberFormat="1" applyBorder="1" applyAlignment="1">
      <alignment horizontal="centerContinuous"/>
    </xf>
    <xf numFmtId="0" fontId="0" fillId="0" borderId="10" xfId="0" applyBorder="1" applyAlignment="1">
      <alignment horizontal="center"/>
    </xf>
    <xf numFmtId="0" fontId="0" fillId="0" borderId="10" xfId="0" applyBorder="1"/>
    <xf numFmtId="167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2" xfId="0" applyBorder="1"/>
    <xf numFmtId="0" fontId="7" fillId="0" borderId="9" xfId="0" applyFont="1" applyBorder="1" applyAlignment="1">
      <alignment horizontal="centerContinuous"/>
    </xf>
    <xf numFmtId="0" fontId="7" fillId="0" borderId="17" xfId="0" applyFont="1" applyBorder="1"/>
    <xf numFmtId="14" fontId="0" fillId="0" borderId="0" xfId="0" applyNumberFormat="1"/>
    <xf numFmtId="164" fontId="2" fillId="0" borderId="4" xfId="0" applyNumberFormat="1" applyFont="1" applyBorder="1" applyAlignment="1">
      <alignment horizontal="center"/>
    </xf>
    <xf numFmtId="165" fontId="2" fillId="0" borderId="3" xfId="1" applyFont="1" applyBorder="1"/>
    <xf numFmtId="0" fontId="2" fillId="0" borderId="6" xfId="0" applyFont="1" applyBorder="1"/>
    <xf numFmtId="165" fontId="2" fillId="0" borderId="4" xfId="1" applyFont="1" applyBorder="1"/>
    <xf numFmtId="165" fontId="2" fillId="0" borderId="2" xfId="1" applyFont="1" applyBorder="1"/>
    <xf numFmtId="173" fontId="2" fillId="0" borderId="0" xfId="0" applyNumberFormat="1" applyFont="1" applyAlignment="1">
      <alignment horizontal="right"/>
    </xf>
    <xf numFmtId="0" fontId="3" fillId="0" borderId="18" xfId="0" quotePrefix="1" applyFont="1" applyBorder="1" applyAlignment="1">
      <alignment horizontal="left"/>
    </xf>
    <xf numFmtId="0" fontId="3" fillId="0" borderId="7" xfId="0" quotePrefix="1" applyFont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78C-60F3-4C94-BF24-4413C5A02CED}">
  <dimension ref="A1:L678"/>
  <sheetViews>
    <sheetView workbookViewId="0"/>
  </sheetViews>
  <sheetFormatPr defaultColWidth="11.5546875" defaultRowHeight="15"/>
  <cols>
    <col min="1" max="3" width="11.5546875" customWidth="1"/>
    <col min="4" max="4" width="12.33203125" customWidth="1"/>
    <col min="5" max="5" width="14" customWidth="1"/>
  </cols>
  <sheetData>
    <row r="1" spans="1:5">
      <c r="A1" s="51"/>
      <c r="B1" s="70" t="s">
        <v>0</v>
      </c>
      <c r="C1" s="81" t="s">
        <v>1</v>
      </c>
      <c r="D1" s="62" t="s">
        <v>2</v>
      </c>
      <c r="E1" s="82" t="s">
        <v>3</v>
      </c>
    </row>
    <row r="2" spans="1:5">
      <c r="A2" s="52">
        <v>23681</v>
      </c>
      <c r="B2" s="71">
        <v>10000</v>
      </c>
      <c r="C2" s="71">
        <v>10000</v>
      </c>
      <c r="D2" s="63" t="e">
        <f t="shared" ref="D2:D65" si="0">B2/B1</f>
        <v>#VALUE!</v>
      </c>
      <c r="E2" s="53">
        <v>10000</v>
      </c>
    </row>
    <row r="3" spans="1:5">
      <c r="A3" s="52">
        <v>23711</v>
      </c>
      <c r="B3" s="71">
        <v>10000</v>
      </c>
      <c r="C3" s="71">
        <v>10000</v>
      </c>
      <c r="D3" s="64">
        <f t="shared" si="0"/>
        <v>1</v>
      </c>
      <c r="E3" s="53">
        <v>10000</v>
      </c>
    </row>
    <row r="4" spans="1:5">
      <c r="A4" s="52">
        <v>23742</v>
      </c>
      <c r="B4" s="71">
        <v>10000</v>
      </c>
      <c r="C4" s="71">
        <v>10000</v>
      </c>
      <c r="D4" s="64">
        <f t="shared" si="0"/>
        <v>1</v>
      </c>
      <c r="E4" s="53">
        <v>10000</v>
      </c>
    </row>
    <row r="5" spans="1:5">
      <c r="A5" s="52">
        <v>23773</v>
      </c>
      <c r="B5" s="71">
        <v>11300</v>
      </c>
      <c r="C5" s="71">
        <v>11300</v>
      </c>
      <c r="D5" s="64">
        <f t="shared" si="0"/>
        <v>1.1299999999999999</v>
      </c>
      <c r="E5" s="53">
        <v>11300</v>
      </c>
    </row>
    <row r="6" spans="1:5">
      <c r="A6" s="52">
        <v>23801</v>
      </c>
      <c r="B6" s="71">
        <v>11300</v>
      </c>
      <c r="C6" s="71">
        <v>11300</v>
      </c>
      <c r="D6" s="64">
        <f t="shared" si="0"/>
        <v>1</v>
      </c>
      <c r="E6" s="53">
        <v>11300</v>
      </c>
    </row>
    <row r="7" spans="1:5">
      <c r="A7" s="52">
        <v>23832</v>
      </c>
      <c r="B7" s="71">
        <v>11300</v>
      </c>
      <c r="C7" s="71">
        <v>11300</v>
      </c>
      <c r="D7" s="64">
        <f t="shared" si="0"/>
        <v>1</v>
      </c>
      <c r="E7" s="53">
        <v>11300</v>
      </c>
    </row>
    <row r="8" spans="1:5">
      <c r="A8" s="52">
        <v>23862</v>
      </c>
      <c r="B8" s="71">
        <v>13400</v>
      </c>
      <c r="C8" s="71">
        <v>13400</v>
      </c>
      <c r="D8" s="64">
        <f t="shared" si="0"/>
        <v>1.1858407079646018</v>
      </c>
      <c r="E8" s="53">
        <v>13400</v>
      </c>
    </row>
    <row r="9" spans="1:5">
      <c r="A9" s="52">
        <v>23893</v>
      </c>
      <c r="B9" s="71">
        <v>13400</v>
      </c>
      <c r="C9" s="71">
        <v>13400</v>
      </c>
      <c r="D9" s="64">
        <f t="shared" si="0"/>
        <v>1</v>
      </c>
      <c r="E9" s="53">
        <v>13400</v>
      </c>
    </row>
    <row r="10" spans="1:5">
      <c r="A10" s="52">
        <v>23923</v>
      </c>
      <c r="B10" s="71">
        <v>13400</v>
      </c>
      <c r="C10" s="71">
        <v>13400</v>
      </c>
      <c r="D10" s="64">
        <f t="shared" si="0"/>
        <v>1</v>
      </c>
      <c r="E10" s="53">
        <v>13400</v>
      </c>
    </row>
    <row r="11" spans="1:5">
      <c r="A11" s="52">
        <v>23954</v>
      </c>
      <c r="B11" s="71">
        <v>15200</v>
      </c>
      <c r="C11" s="71">
        <v>15200</v>
      </c>
      <c r="D11" s="64">
        <f t="shared" si="0"/>
        <v>1.1343283582089552</v>
      </c>
      <c r="E11" s="53">
        <v>15200</v>
      </c>
    </row>
    <row r="12" spans="1:5">
      <c r="A12" s="52">
        <v>23985</v>
      </c>
      <c r="B12" s="71">
        <v>15200</v>
      </c>
      <c r="C12" s="71">
        <v>15200</v>
      </c>
      <c r="D12" s="64">
        <f t="shared" si="0"/>
        <v>1</v>
      </c>
      <c r="E12" s="53">
        <v>15200</v>
      </c>
    </row>
    <row r="13" spans="1:5">
      <c r="A13" s="52">
        <v>24015</v>
      </c>
      <c r="B13" s="71">
        <v>15700</v>
      </c>
      <c r="C13" s="71">
        <v>15700</v>
      </c>
      <c r="D13" s="64">
        <f t="shared" si="0"/>
        <v>1.0328947368421053</v>
      </c>
      <c r="E13" s="53">
        <v>15700</v>
      </c>
    </row>
    <row r="14" spans="1:5">
      <c r="A14" s="52">
        <v>24046</v>
      </c>
      <c r="B14" s="71">
        <v>15900</v>
      </c>
      <c r="C14" s="71">
        <v>15900</v>
      </c>
      <c r="D14" s="64">
        <f t="shared" si="0"/>
        <v>1.0127388535031847</v>
      </c>
      <c r="E14" s="53">
        <v>15900</v>
      </c>
    </row>
    <row r="15" spans="1:5">
      <c r="A15" s="52">
        <v>24076</v>
      </c>
      <c r="B15" s="71">
        <v>16050</v>
      </c>
      <c r="C15" s="71">
        <v>16050</v>
      </c>
      <c r="D15" s="64">
        <f t="shared" si="0"/>
        <v>1.0094339622641511</v>
      </c>
      <c r="E15" s="53">
        <v>16050</v>
      </c>
    </row>
    <row r="16" spans="1:5">
      <c r="A16" s="52">
        <v>24107</v>
      </c>
      <c r="B16" s="71">
        <v>16300</v>
      </c>
      <c r="C16" s="71">
        <v>16300</v>
      </c>
      <c r="D16" s="64">
        <f t="shared" si="0"/>
        <v>1.0155763239875388</v>
      </c>
      <c r="E16" s="53">
        <v>16300</v>
      </c>
    </row>
    <row r="17" spans="1:5">
      <c r="A17" s="52">
        <v>24138</v>
      </c>
      <c r="B17" s="71">
        <v>16600</v>
      </c>
      <c r="C17" s="71">
        <v>16600</v>
      </c>
      <c r="D17" s="64">
        <f t="shared" si="0"/>
        <v>1.01840490797546</v>
      </c>
      <c r="E17" s="53">
        <v>16600</v>
      </c>
    </row>
    <row r="18" spans="1:5">
      <c r="A18" s="52">
        <v>24166</v>
      </c>
      <c r="B18" s="71">
        <v>17050</v>
      </c>
      <c r="C18" s="71">
        <v>17050</v>
      </c>
      <c r="D18" s="64">
        <f t="shared" si="0"/>
        <v>1.0271084337349397</v>
      </c>
      <c r="E18" s="53">
        <v>17050</v>
      </c>
    </row>
    <row r="19" spans="1:5">
      <c r="A19" s="52">
        <v>24197</v>
      </c>
      <c r="B19" s="71">
        <v>17300</v>
      </c>
      <c r="C19" s="71">
        <v>17300</v>
      </c>
      <c r="D19" s="64">
        <f t="shared" si="0"/>
        <v>1.0146627565982405</v>
      </c>
      <c r="E19" s="53">
        <v>17300</v>
      </c>
    </row>
    <row r="20" spans="1:5">
      <c r="A20" s="52">
        <v>24227</v>
      </c>
      <c r="B20" s="71">
        <v>17600</v>
      </c>
      <c r="C20" s="71">
        <v>17600</v>
      </c>
      <c r="D20" s="64">
        <f t="shared" si="0"/>
        <v>1.0173410404624277</v>
      </c>
      <c r="E20" s="53">
        <v>17600</v>
      </c>
    </row>
    <row r="21" spans="1:5">
      <c r="A21" s="52">
        <v>24258</v>
      </c>
      <c r="B21" s="71">
        <v>18280</v>
      </c>
      <c r="C21" s="71">
        <v>18280</v>
      </c>
      <c r="D21" s="64">
        <f t="shared" si="0"/>
        <v>1.0386363636363636</v>
      </c>
      <c r="E21" s="53">
        <v>18280</v>
      </c>
    </row>
    <row r="22" spans="1:5">
      <c r="A22" s="52">
        <v>24288</v>
      </c>
      <c r="B22" s="71">
        <v>19090</v>
      </c>
      <c r="C22" s="71">
        <v>19090</v>
      </c>
      <c r="D22" s="64">
        <f t="shared" si="0"/>
        <v>1.0443107221006565</v>
      </c>
      <c r="E22" s="53">
        <v>19090</v>
      </c>
    </row>
    <row r="23" spans="1:5">
      <c r="A23" s="52">
        <v>24319</v>
      </c>
      <c r="B23" s="71">
        <v>19870</v>
      </c>
      <c r="C23" s="71">
        <v>19870</v>
      </c>
      <c r="D23" s="64">
        <f t="shared" si="0"/>
        <v>1.0408590885280251</v>
      </c>
      <c r="E23" s="53">
        <v>19870</v>
      </c>
    </row>
    <row r="24" spans="1:5">
      <c r="A24" s="52">
        <v>24350</v>
      </c>
      <c r="B24" s="71">
        <v>20430</v>
      </c>
      <c r="C24" s="71">
        <v>20430</v>
      </c>
      <c r="D24" s="64">
        <f t="shared" si="0"/>
        <v>1.0281831907398087</v>
      </c>
      <c r="E24" s="53">
        <v>20430</v>
      </c>
    </row>
    <row r="25" spans="1:5">
      <c r="A25" s="52">
        <v>24380</v>
      </c>
      <c r="B25" s="71">
        <v>21010</v>
      </c>
      <c r="C25" s="71">
        <v>21010</v>
      </c>
      <c r="D25" s="64">
        <f t="shared" si="0"/>
        <v>1.0283896231032794</v>
      </c>
      <c r="E25" s="53">
        <v>21010</v>
      </c>
    </row>
    <row r="26" spans="1:5">
      <c r="A26" s="52">
        <v>24411</v>
      </c>
      <c r="B26" s="71">
        <v>21610</v>
      </c>
      <c r="C26" s="71">
        <v>21610</v>
      </c>
      <c r="D26" s="64">
        <f t="shared" si="0"/>
        <v>1.02855782960495</v>
      </c>
      <c r="E26" s="53">
        <v>21610</v>
      </c>
    </row>
    <row r="27" spans="1:5">
      <c r="A27" s="52">
        <v>24441</v>
      </c>
      <c r="B27" s="71">
        <v>22180</v>
      </c>
      <c r="C27" s="71">
        <v>22180</v>
      </c>
      <c r="D27" s="64">
        <f t="shared" si="0"/>
        <v>1.026376677464137</v>
      </c>
      <c r="E27" s="53">
        <v>22180</v>
      </c>
    </row>
    <row r="28" spans="1:5">
      <c r="A28" s="52">
        <v>24472</v>
      </c>
      <c r="B28" s="71">
        <v>22690</v>
      </c>
      <c r="C28" s="71">
        <v>22690</v>
      </c>
      <c r="D28" s="64">
        <f t="shared" si="0"/>
        <v>1.0229936880072137</v>
      </c>
      <c r="E28" s="53">
        <v>22690</v>
      </c>
    </row>
    <row r="29" spans="1:5">
      <c r="A29" s="52">
        <v>24503</v>
      </c>
      <c r="B29" s="71">
        <v>23230</v>
      </c>
      <c r="C29" s="71">
        <v>23230</v>
      </c>
      <c r="D29" s="64">
        <f t="shared" si="0"/>
        <v>1.0237990304098721</v>
      </c>
      <c r="E29" s="53">
        <v>23230</v>
      </c>
    </row>
    <row r="30" spans="1:5">
      <c r="A30" s="52">
        <v>24531</v>
      </c>
      <c r="B30" s="72">
        <v>23.78</v>
      </c>
      <c r="C30" s="72">
        <v>23.78</v>
      </c>
      <c r="D30" s="64">
        <f t="shared" si="0"/>
        <v>1.0236762806715455E-3</v>
      </c>
      <c r="E30" s="54">
        <v>23.78</v>
      </c>
    </row>
    <row r="31" spans="1:5">
      <c r="A31" s="52">
        <v>24562</v>
      </c>
      <c r="B31" s="72">
        <v>24.28</v>
      </c>
      <c r="C31" s="72">
        <v>24.28</v>
      </c>
      <c r="D31" s="64">
        <f t="shared" si="0"/>
        <v>1.0210260723296889</v>
      </c>
      <c r="E31" s="54">
        <v>24.28</v>
      </c>
    </row>
    <row r="32" spans="1:5">
      <c r="A32" s="52">
        <v>24592</v>
      </c>
      <c r="B32" s="72">
        <v>24.64</v>
      </c>
      <c r="C32" s="72">
        <v>24.64</v>
      </c>
      <c r="D32" s="64">
        <f t="shared" si="0"/>
        <v>1.014827018121911</v>
      </c>
      <c r="E32" s="54">
        <v>24.64</v>
      </c>
    </row>
    <row r="33" spans="1:5">
      <c r="A33" s="52">
        <v>24623</v>
      </c>
      <c r="B33" s="72">
        <v>25.01</v>
      </c>
      <c r="C33" s="72">
        <v>25.01</v>
      </c>
      <c r="D33" s="64">
        <f t="shared" si="0"/>
        <v>1.0150162337662338</v>
      </c>
      <c r="E33" s="54">
        <v>25.01</v>
      </c>
    </row>
    <row r="34" spans="1:5">
      <c r="A34" s="52">
        <v>24653</v>
      </c>
      <c r="B34" s="72">
        <v>25.46</v>
      </c>
      <c r="C34" s="72">
        <v>25.46</v>
      </c>
      <c r="D34" s="64">
        <f t="shared" si="0"/>
        <v>1.0179928028788485</v>
      </c>
      <c r="E34" s="54">
        <v>25.46</v>
      </c>
    </row>
    <row r="35" spans="1:5">
      <c r="A35" s="52">
        <v>24684</v>
      </c>
      <c r="B35" s="72">
        <v>26.18</v>
      </c>
      <c r="C35" s="72">
        <v>26.18</v>
      </c>
      <c r="D35" s="64">
        <f t="shared" si="0"/>
        <v>1.0282796543597801</v>
      </c>
      <c r="E35" s="54">
        <v>26.18</v>
      </c>
    </row>
    <row r="36" spans="1:5">
      <c r="A36" s="52">
        <v>24715</v>
      </c>
      <c r="B36" s="72">
        <v>26.84</v>
      </c>
      <c r="C36" s="72">
        <v>26.84</v>
      </c>
      <c r="D36" s="64">
        <f t="shared" si="0"/>
        <v>1.0252100840336134</v>
      </c>
      <c r="E36" s="54">
        <v>26.84</v>
      </c>
    </row>
    <row r="37" spans="1:5">
      <c r="A37" s="52">
        <v>24745</v>
      </c>
      <c r="B37" s="72">
        <v>27.25</v>
      </c>
      <c r="C37" s="72">
        <v>27.25</v>
      </c>
      <c r="D37" s="64">
        <f t="shared" si="0"/>
        <v>1.0152757078986587</v>
      </c>
      <c r="E37" s="54">
        <v>27.25</v>
      </c>
    </row>
    <row r="38" spans="1:5">
      <c r="A38" s="52">
        <v>24776</v>
      </c>
      <c r="B38" s="72">
        <v>27.38</v>
      </c>
      <c r="C38" s="72">
        <v>27.38</v>
      </c>
      <c r="D38" s="64">
        <f t="shared" si="0"/>
        <v>1.0047706422018348</v>
      </c>
      <c r="E38" s="54">
        <v>27.38</v>
      </c>
    </row>
    <row r="39" spans="1:5">
      <c r="A39" s="52">
        <v>24806</v>
      </c>
      <c r="B39" s="72">
        <v>27.57</v>
      </c>
      <c r="C39" s="72">
        <v>27.57</v>
      </c>
      <c r="D39" s="64">
        <f t="shared" si="0"/>
        <v>1.0069393718042368</v>
      </c>
      <c r="E39" s="54">
        <v>27.57</v>
      </c>
    </row>
    <row r="40" spans="1:5">
      <c r="A40" s="52">
        <v>24837</v>
      </c>
      <c r="B40" s="72">
        <v>27.96</v>
      </c>
      <c r="C40" s="72">
        <v>27.96</v>
      </c>
      <c r="D40" s="64">
        <f t="shared" si="0"/>
        <v>1.0141458106637651</v>
      </c>
      <c r="E40" s="54">
        <v>27.96</v>
      </c>
    </row>
    <row r="41" spans="1:5">
      <c r="A41" s="52">
        <v>24868</v>
      </c>
      <c r="B41" s="72">
        <v>28.48</v>
      </c>
      <c r="C41" s="72">
        <v>28.48</v>
      </c>
      <c r="D41" s="64">
        <f t="shared" si="0"/>
        <v>1.0185979971387698</v>
      </c>
      <c r="E41" s="54">
        <v>28.48</v>
      </c>
    </row>
    <row r="42" spans="1:5">
      <c r="A42" s="52">
        <v>24897</v>
      </c>
      <c r="B42" s="72">
        <v>28.98</v>
      </c>
      <c r="C42" s="72">
        <v>28.98</v>
      </c>
      <c r="D42" s="64">
        <f t="shared" si="0"/>
        <v>1.0175561797752808</v>
      </c>
      <c r="E42" s="54">
        <v>28.98</v>
      </c>
    </row>
    <row r="43" spans="1:5">
      <c r="A43" s="52">
        <v>24928</v>
      </c>
      <c r="B43" s="72">
        <v>29.4</v>
      </c>
      <c r="C43" s="72">
        <v>29.4</v>
      </c>
      <c r="D43" s="64">
        <f t="shared" si="0"/>
        <v>1.0144927536231882</v>
      </c>
      <c r="E43" s="54">
        <v>29.4</v>
      </c>
    </row>
    <row r="44" spans="1:5">
      <c r="A44" s="52">
        <v>24958</v>
      </c>
      <c r="B44" s="72">
        <v>29.83</v>
      </c>
      <c r="C44" s="72">
        <v>29.83</v>
      </c>
      <c r="D44" s="64">
        <f t="shared" si="0"/>
        <v>1.014625850340136</v>
      </c>
      <c r="E44" s="54">
        <v>29.83</v>
      </c>
    </row>
    <row r="45" spans="1:5">
      <c r="A45" s="52">
        <v>24989</v>
      </c>
      <c r="B45" s="72">
        <v>30.39</v>
      </c>
      <c r="C45" s="72">
        <v>30.39</v>
      </c>
      <c r="D45" s="64">
        <f t="shared" si="0"/>
        <v>1.0187730472678513</v>
      </c>
      <c r="E45" s="54">
        <v>30.39</v>
      </c>
    </row>
    <row r="46" spans="1:5">
      <c r="A46" s="52">
        <v>25019</v>
      </c>
      <c r="B46" s="72">
        <v>31.2</v>
      </c>
      <c r="C46" s="72">
        <v>31.2</v>
      </c>
      <c r="D46" s="64">
        <f t="shared" si="0"/>
        <v>1.0266535044422507</v>
      </c>
      <c r="E46" s="54">
        <v>31.2</v>
      </c>
    </row>
    <row r="47" spans="1:5">
      <c r="A47" s="52">
        <v>25050</v>
      </c>
      <c r="B47" s="72">
        <v>32.090000000000003</v>
      </c>
      <c r="C47" s="72">
        <v>32.090000000000003</v>
      </c>
      <c r="D47" s="64">
        <f t="shared" si="0"/>
        <v>1.0285256410256411</v>
      </c>
      <c r="E47" s="54">
        <v>32.090000000000003</v>
      </c>
    </row>
    <row r="48" spans="1:5">
      <c r="A48" s="52">
        <v>25081</v>
      </c>
      <c r="B48" s="72">
        <v>32.81</v>
      </c>
      <c r="C48" s="72">
        <v>32.81</v>
      </c>
      <c r="D48" s="64">
        <f t="shared" si="0"/>
        <v>1.0224368962293549</v>
      </c>
      <c r="E48" s="54">
        <v>32.81</v>
      </c>
    </row>
    <row r="49" spans="1:5">
      <c r="A49" s="52">
        <v>25111</v>
      </c>
      <c r="B49" s="72">
        <v>33.409999999999997</v>
      </c>
      <c r="C49" s="72">
        <v>33.409999999999997</v>
      </c>
      <c r="D49" s="64">
        <f t="shared" si="0"/>
        <v>1.0182871075891495</v>
      </c>
      <c r="E49" s="54">
        <v>33.409999999999997</v>
      </c>
    </row>
    <row r="50" spans="1:5">
      <c r="A50" s="52">
        <v>25142</v>
      </c>
      <c r="B50" s="72">
        <v>33.880000000000003</v>
      </c>
      <c r="C50" s="72">
        <v>33.880000000000003</v>
      </c>
      <c r="D50" s="64">
        <f t="shared" si="0"/>
        <v>1.0140676444178391</v>
      </c>
      <c r="E50" s="54">
        <v>33.880000000000003</v>
      </c>
    </row>
    <row r="51" spans="1:5">
      <c r="A51" s="52">
        <v>25172</v>
      </c>
      <c r="B51" s="72">
        <v>34.39</v>
      </c>
      <c r="C51" s="72">
        <v>34.39</v>
      </c>
      <c r="D51" s="64">
        <f t="shared" si="0"/>
        <v>1.0150531286894922</v>
      </c>
      <c r="E51" s="54">
        <v>34.39</v>
      </c>
    </row>
    <row r="52" spans="1:5">
      <c r="A52" s="52">
        <v>25203</v>
      </c>
      <c r="B52" s="72">
        <v>34.950000000000003</v>
      </c>
      <c r="C52" s="72">
        <v>34.950000000000003</v>
      </c>
      <c r="D52" s="64">
        <f t="shared" si="0"/>
        <v>1.01628380343123</v>
      </c>
      <c r="E52" s="54">
        <v>34.950000000000003</v>
      </c>
    </row>
    <row r="53" spans="1:5">
      <c r="A53" s="52">
        <v>25234</v>
      </c>
      <c r="B53" s="72">
        <v>35.619999999999997</v>
      </c>
      <c r="C53" s="72">
        <v>35.619999999999997</v>
      </c>
      <c r="D53" s="64">
        <f t="shared" si="0"/>
        <v>1.0191702432045777</v>
      </c>
      <c r="E53" s="54">
        <v>35.619999999999997</v>
      </c>
    </row>
    <row r="54" spans="1:5">
      <c r="A54" s="52">
        <v>25262</v>
      </c>
      <c r="B54" s="72">
        <v>36.270000000000003</v>
      </c>
      <c r="C54" s="72">
        <v>36.270000000000003</v>
      </c>
      <c r="D54" s="64">
        <f t="shared" si="0"/>
        <v>1.0182481751824819</v>
      </c>
      <c r="E54" s="54">
        <v>36.270000000000003</v>
      </c>
    </row>
    <row r="55" spans="1:5">
      <c r="A55" s="52">
        <v>25293</v>
      </c>
      <c r="B55" s="72">
        <v>36.909999999999997</v>
      </c>
      <c r="C55" s="72">
        <v>36.909999999999997</v>
      </c>
      <c r="D55" s="64">
        <f t="shared" si="0"/>
        <v>1.0176454370002754</v>
      </c>
      <c r="E55" s="54">
        <v>36.909999999999997</v>
      </c>
    </row>
    <row r="56" spans="1:5">
      <c r="A56" s="52">
        <v>25323</v>
      </c>
      <c r="B56" s="72">
        <v>37.43</v>
      </c>
      <c r="C56" s="72">
        <v>37.43</v>
      </c>
      <c r="D56" s="64">
        <f t="shared" si="0"/>
        <v>1.0140883229477107</v>
      </c>
      <c r="E56" s="54">
        <v>37.43</v>
      </c>
    </row>
    <row r="57" spans="1:5">
      <c r="A57" s="52">
        <v>25354</v>
      </c>
      <c r="B57" s="72">
        <v>38.01</v>
      </c>
      <c r="C57" s="72">
        <v>38.01</v>
      </c>
      <c r="D57" s="64">
        <f t="shared" si="0"/>
        <v>1.0154955917713064</v>
      </c>
      <c r="E57" s="54">
        <v>38.01</v>
      </c>
    </row>
    <row r="58" spans="1:5">
      <c r="A58" s="52">
        <v>25384</v>
      </c>
      <c r="B58" s="72">
        <v>38.479999999999997</v>
      </c>
      <c r="C58" s="72">
        <v>38.479999999999997</v>
      </c>
      <c r="D58" s="64">
        <f t="shared" si="0"/>
        <v>1.0123651670612996</v>
      </c>
      <c r="E58" s="54">
        <v>38.479999999999997</v>
      </c>
    </row>
    <row r="59" spans="1:5">
      <c r="A59" s="52">
        <v>25415</v>
      </c>
      <c r="B59" s="72">
        <v>39</v>
      </c>
      <c r="C59" s="72">
        <v>39</v>
      </c>
      <c r="D59" s="64">
        <f t="shared" si="0"/>
        <v>1.0135135135135136</v>
      </c>
      <c r="E59" s="54">
        <v>39</v>
      </c>
    </row>
    <row r="60" spans="1:5">
      <c r="A60" s="52">
        <v>25446</v>
      </c>
      <c r="B60" s="72">
        <v>39.270000000000003</v>
      </c>
      <c r="C60" s="72">
        <v>39.270000000000003</v>
      </c>
      <c r="D60" s="64">
        <f t="shared" si="0"/>
        <v>1.006923076923077</v>
      </c>
      <c r="E60" s="54">
        <v>39.270000000000003</v>
      </c>
    </row>
    <row r="61" spans="1:5">
      <c r="A61" s="52">
        <v>25476</v>
      </c>
      <c r="B61" s="72">
        <v>39.56</v>
      </c>
      <c r="C61" s="72">
        <v>39.56</v>
      </c>
      <c r="D61" s="64">
        <f t="shared" si="0"/>
        <v>1.0073847720906544</v>
      </c>
      <c r="E61" s="54">
        <v>39.56</v>
      </c>
    </row>
    <row r="62" spans="1:5">
      <c r="A62" s="52">
        <v>25507</v>
      </c>
      <c r="B62" s="72">
        <v>39.92</v>
      </c>
      <c r="C62" s="72">
        <v>39.92</v>
      </c>
      <c r="D62" s="64">
        <f t="shared" si="0"/>
        <v>1.0091001011122345</v>
      </c>
      <c r="E62" s="54">
        <v>39.92</v>
      </c>
    </row>
    <row r="63" spans="1:5">
      <c r="A63" s="52">
        <v>25537</v>
      </c>
      <c r="B63" s="72">
        <v>40.57</v>
      </c>
      <c r="C63" s="72">
        <v>40.57</v>
      </c>
      <c r="D63" s="64">
        <f t="shared" si="0"/>
        <v>1.0162825651302605</v>
      </c>
      <c r="E63" s="54">
        <v>40.57</v>
      </c>
    </row>
    <row r="64" spans="1:5">
      <c r="A64" s="52">
        <v>25568</v>
      </c>
      <c r="B64" s="72">
        <v>41.42</v>
      </c>
      <c r="C64" s="72">
        <v>41.42</v>
      </c>
      <c r="D64" s="64">
        <f t="shared" si="0"/>
        <v>1.0209514419521815</v>
      </c>
      <c r="E64" s="54">
        <v>41.42</v>
      </c>
    </row>
    <row r="65" spans="1:5">
      <c r="A65" s="52">
        <v>25599</v>
      </c>
      <c r="B65" s="72">
        <v>42.35</v>
      </c>
      <c r="C65" s="72">
        <v>42.35</v>
      </c>
      <c r="D65" s="64">
        <f t="shared" si="0"/>
        <v>1.0224529212940607</v>
      </c>
      <c r="E65" s="54">
        <v>42.35</v>
      </c>
    </row>
    <row r="66" spans="1:5">
      <c r="A66" s="52">
        <v>25627</v>
      </c>
      <c r="B66" s="72">
        <v>43.3</v>
      </c>
      <c r="C66" s="72">
        <v>43.3</v>
      </c>
      <c r="D66" s="64">
        <f t="shared" ref="D66:D129" si="1">B66/B65</f>
        <v>1.0224321133412042</v>
      </c>
      <c r="E66" s="54">
        <v>43.3</v>
      </c>
    </row>
    <row r="67" spans="1:5">
      <c r="A67" s="52">
        <v>25658</v>
      </c>
      <c r="B67" s="72">
        <v>44.17</v>
      </c>
      <c r="C67" s="72">
        <v>44.17</v>
      </c>
      <c r="D67" s="64">
        <f t="shared" si="1"/>
        <v>1.0200923787528871</v>
      </c>
      <c r="E67" s="54">
        <v>44.17</v>
      </c>
    </row>
    <row r="68" spans="1:5">
      <c r="A68" s="52">
        <v>25688</v>
      </c>
      <c r="B68" s="72">
        <v>44.67</v>
      </c>
      <c r="C68" s="72">
        <v>44.67</v>
      </c>
      <c r="D68" s="64">
        <f t="shared" si="1"/>
        <v>1.0113199003848765</v>
      </c>
      <c r="E68" s="54">
        <v>44.67</v>
      </c>
    </row>
    <row r="69" spans="1:5">
      <c r="A69" s="52">
        <v>25719</v>
      </c>
      <c r="B69" s="72">
        <v>45.08</v>
      </c>
      <c r="C69" s="72">
        <v>45.08</v>
      </c>
      <c r="D69" s="64">
        <f t="shared" si="1"/>
        <v>1.0091784195209312</v>
      </c>
      <c r="E69" s="54">
        <v>45.08</v>
      </c>
    </row>
    <row r="70" spans="1:5">
      <c r="A70" s="52">
        <v>25749</v>
      </c>
      <c r="B70" s="72">
        <v>45.5</v>
      </c>
      <c r="C70" s="72">
        <v>45.5</v>
      </c>
      <c r="D70" s="64">
        <f t="shared" si="1"/>
        <v>1.0093167701863355</v>
      </c>
      <c r="E70" s="54">
        <v>45.5</v>
      </c>
    </row>
    <row r="71" spans="1:5">
      <c r="A71" s="52">
        <v>25780</v>
      </c>
      <c r="B71" s="72">
        <v>46.2</v>
      </c>
      <c r="C71" s="72">
        <v>46.2</v>
      </c>
      <c r="D71" s="64">
        <f t="shared" si="1"/>
        <v>1.0153846153846156</v>
      </c>
      <c r="E71" s="54">
        <v>46.2</v>
      </c>
    </row>
    <row r="72" spans="1:5">
      <c r="A72" s="52">
        <v>25811</v>
      </c>
      <c r="B72" s="72">
        <v>46.61</v>
      </c>
      <c r="C72" s="72">
        <v>46.61</v>
      </c>
      <c r="D72" s="64">
        <f t="shared" si="1"/>
        <v>1.0088744588744587</v>
      </c>
      <c r="E72" s="54">
        <v>46.61</v>
      </c>
    </row>
    <row r="73" spans="1:5">
      <c r="A73" s="52">
        <v>25841</v>
      </c>
      <c r="B73" s="72">
        <v>47.05</v>
      </c>
      <c r="C73" s="72">
        <v>47.05</v>
      </c>
      <c r="D73" s="64">
        <f t="shared" si="1"/>
        <v>1.0094400343273975</v>
      </c>
      <c r="E73" s="54">
        <v>47.05</v>
      </c>
    </row>
    <row r="74" spans="1:5">
      <c r="A74" s="52">
        <v>25872</v>
      </c>
      <c r="B74" s="72">
        <v>47.61</v>
      </c>
      <c r="C74" s="72">
        <v>47.61</v>
      </c>
      <c r="D74" s="64">
        <f t="shared" si="1"/>
        <v>1.0119022316684378</v>
      </c>
      <c r="E74" s="54">
        <v>47.61</v>
      </c>
    </row>
    <row r="75" spans="1:5">
      <c r="A75" s="52">
        <v>25902</v>
      </c>
      <c r="B75" s="72">
        <v>48.51</v>
      </c>
      <c r="C75" s="72">
        <v>48.51</v>
      </c>
      <c r="D75" s="64">
        <f t="shared" si="1"/>
        <v>1.0189035916824196</v>
      </c>
      <c r="E75" s="54">
        <v>48.51</v>
      </c>
    </row>
    <row r="76" spans="1:5">
      <c r="A76" s="52">
        <v>25933</v>
      </c>
      <c r="B76" s="72">
        <v>49.54</v>
      </c>
      <c r="C76" s="72">
        <v>49.54</v>
      </c>
      <c r="D76" s="64">
        <f t="shared" si="1"/>
        <v>1.0212327355184498</v>
      </c>
      <c r="E76" s="54">
        <v>49.54</v>
      </c>
    </row>
    <row r="77" spans="1:5">
      <c r="A77" s="52">
        <v>25964</v>
      </c>
      <c r="B77" s="72">
        <v>50.51</v>
      </c>
      <c r="C77" s="72">
        <v>50.51</v>
      </c>
      <c r="D77" s="64">
        <f t="shared" si="1"/>
        <v>1.0195801372628179</v>
      </c>
      <c r="E77" s="54">
        <v>50.51</v>
      </c>
    </row>
    <row r="78" spans="1:5">
      <c r="A78" s="52">
        <v>25992</v>
      </c>
      <c r="B78" s="72">
        <v>51.44</v>
      </c>
      <c r="C78" s="72">
        <v>51.44</v>
      </c>
      <c r="D78" s="64">
        <f t="shared" si="1"/>
        <v>1.0184121956048307</v>
      </c>
      <c r="E78" s="54">
        <v>51.44</v>
      </c>
    </row>
    <row r="79" spans="1:5">
      <c r="A79" s="52">
        <v>26023</v>
      </c>
      <c r="B79" s="72">
        <v>52.12</v>
      </c>
      <c r="C79" s="72">
        <v>52.12</v>
      </c>
      <c r="D79" s="64">
        <f t="shared" si="1"/>
        <v>1.0132192846034214</v>
      </c>
      <c r="E79" s="54">
        <v>52.12</v>
      </c>
    </row>
    <row r="80" spans="1:5">
      <c r="A80" s="52">
        <v>26053</v>
      </c>
      <c r="B80" s="72">
        <v>52.64</v>
      </c>
      <c r="C80" s="72">
        <v>52.64</v>
      </c>
      <c r="D80" s="64">
        <f t="shared" si="1"/>
        <v>1.0099769762087492</v>
      </c>
      <c r="E80" s="54">
        <v>52.64</v>
      </c>
    </row>
    <row r="81" spans="1:5">
      <c r="A81" s="52">
        <v>26084</v>
      </c>
      <c r="B81" s="72">
        <v>53.25</v>
      </c>
      <c r="C81" s="72">
        <v>53.25</v>
      </c>
      <c r="D81" s="64">
        <f t="shared" si="1"/>
        <v>1.0115881458966565</v>
      </c>
      <c r="E81" s="54">
        <v>53.25</v>
      </c>
    </row>
    <row r="82" spans="1:5">
      <c r="A82" s="52">
        <v>26114</v>
      </c>
      <c r="B82" s="72">
        <v>54.01</v>
      </c>
      <c r="C82" s="72">
        <v>54.01</v>
      </c>
      <c r="D82" s="64">
        <f t="shared" si="1"/>
        <v>1.0142723004694836</v>
      </c>
      <c r="E82" s="54">
        <v>54.01</v>
      </c>
    </row>
    <row r="83" spans="1:5">
      <c r="A83" s="52">
        <v>26145</v>
      </c>
      <c r="B83" s="72">
        <v>55.08</v>
      </c>
      <c r="C83" s="72">
        <v>55.08</v>
      </c>
      <c r="D83" s="64">
        <f t="shared" si="1"/>
        <v>1.0198111460840584</v>
      </c>
      <c r="E83" s="54">
        <v>55.08</v>
      </c>
    </row>
    <row r="84" spans="1:5">
      <c r="A84" s="52">
        <v>26176</v>
      </c>
      <c r="B84" s="72">
        <v>56.18</v>
      </c>
      <c r="C84" s="72">
        <v>56.18</v>
      </c>
      <c r="D84" s="64">
        <f t="shared" si="1"/>
        <v>1.0199709513435005</v>
      </c>
      <c r="E84" s="54">
        <v>56.18</v>
      </c>
    </row>
    <row r="85" spans="1:5">
      <c r="A85" s="52">
        <v>26206</v>
      </c>
      <c r="B85" s="72">
        <v>57.36</v>
      </c>
      <c r="C85" s="72">
        <v>57.36</v>
      </c>
      <c r="D85" s="64">
        <f t="shared" si="1"/>
        <v>1.021003915984336</v>
      </c>
      <c r="E85" s="54">
        <v>57.36</v>
      </c>
    </row>
    <row r="86" spans="1:5">
      <c r="A86" s="52">
        <v>26237</v>
      </c>
      <c r="B86" s="72">
        <v>58.61</v>
      </c>
      <c r="C86" s="72">
        <v>58.61</v>
      </c>
      <c r="D86" s="64">
        <f t="shared" si="1"/>
        <v>1.021792189679219</v>
      </c>
      <c r="E86" s="54">
        <v>58.61</v>
      </c>
    </row>
    <row r="87" spans="1:5">
      <c r="A87" s="52">
        <v>26267</v>
      </c>
      <c r="B87" s="72">
        <v>59.79</v>
      </c>
      <c r="C87" s="72">
        <v>59.79</v>
      </c>
      <c r="D87" s="64">
        <f t="shared" si="1"/>
        <v>1.0201330830916226</v>
      </c>
      <c r="E87" s="54">
        <v>59.79</v>
      </c>
    </row>
    <row r="88" spans="1:5">
      <c r="A88" s="52">
        <v>26298</v>
      </c>
      <c r="B88" s="72">
        <v>60.77</v>
      </c>
      <c r="C88" s="72">
        <v>60.77</v>
      </c>
      <c r="D88" s="64">
        <f t="shared" si="1"/>
        <v>1.0163907007860846</v>
      </c>
      <c r="E88" s="54">
        <v>60.77</v>
      </c>
    </row>
    <row r="89" spans="1:5">
      <c r="A89" s="52">
        <v>26329</v>
      </c>
      <c r="B89" s="72">
        <v>61.52</v>
      </c>
      <c r="C89" s="72">
        <v>61.52</v>
      </c>
      <c r="D89" s="64">
        <f t="shared" si="1"/>
        <v>1.0123416159289123</v>
      </c>
      <c r="E89" s="54">
        <v>61.52</v>
      </c>
    </row>
    <row r="90" spans="1:5">
      <c r="A90" s="52">
        <v>26358</v>
      </c>
      <c r="B90" s="72">
        <v>62.26</v>
      </c>
      <c r="C90" s="72">
        <v>62.26</v>
      </c>
      <c r="D90" s="64">
        <f t="shared" si="1"/>
        <v>1.0120286085825747</v>
      </c>
      <c r="E90" s="54">
        <v>62.26</v>
      </c>
    </row>
    <row r="91" spans="1:5">
      <c r="A91" s="52">
        <v>26389</v>
      </c>
      <c r="B91" s="72">
        <v>63.09</v>
      </c>
      <c r="C91" s="72">
        <v>63.09</v>
      </c>
      <c r="D91" s="64">
        <f t="shared" si="1"/>
        <v>1.0133311917764216</v>
      </c>
      <c r="E91" s="54">
        <v>63.09</v>
      </c>
    </row>
    <row r="92" spans="1:5">
      <c r="A92" s="52">
        <v>26419</v>
      </c>
      <c r="B92" s="72">
        <v>63.81</v>
      </c>
      <c r="C92" s="72">
        <v>63.81</v>
      </c>
      <c r="D92" s="64">
        <f t="shared" si="1"/>
        <v>1.0114122681883024</v>
      </c>
      <c r="E92" s="54">
        <v>63.81</v>
      </c>
    </row>
    <row r="93" spans="1:5">
      <c r="A93" s="52">
        <v>26450</v>
      </c>
      <c r="B93" s="72">
        <v>64.66</v>
      </c>
      <c r="C93" s="72">
        <v>64.66</v>
      </c>
      <c r="D93" s="64">
        <f t="shared" si="1"/>
        <v>1.0133207961134618</v>
      </c>
      <c r="E93" s="54">
        <v>64.66</v>
      </c>
    </row>
    <row r="94" spans="1:5">
      <c r="A94" s="52">
        <v>26480</v>
      </c>
      <c r="B94" s="72">
        <v>65.75</v>
      </c>
      <c r="C94" s="72">
        <v>65.75</v>
      </c>
      <c r="D94" s="64">
        <f t="shared" si="1"/>
        <v>1.0168574079802042</v>
      </c>
      <c r="E94" s="54">
        <v>65.75</v>
      </c>
    </row>
    <row r="95" spans="1:5">
      <c r="A95" s="52">
        <v>26511</v>
      </c>
      <c r="B95" s="72">
        <v>66.930000000000007</v>
      </c>
      <c r="C95" s="72">
        <v>66.930000000000007</v>
      </c>
      <c r="D95" s="64">
        <f t="shared" si="1"/>
        <v>1.0179467680608365</v>
      </c>
      <c r="E95" s="54">
        <v>66.930000000000007</v>
      </c>
    </row>
    <row r="96" spans="1:5">
      <c r="A96" s="52">
        <v>26542</v>
      </c>
      <c r="B96" s="72">
        <v>67.89</v>
      </c>
      <c r="C96" s="72">
        <v>67.89</v>
      </c>
      <c r="D96" s="64">
        <f t="shared" si="1"/>
        <v>1.0143433437920215</v>
      </c>
      <c r="E96" s="54">
        <v>67.89</v>
      </c>
    </row>
    <row r="97" spans="1:5">
      <c r="A97" s="52">
        <v>26572</v>
      </c>
      <c r="B97" s="72">
        <v>68.459999999999994</v>
      </c>
      <c r="C97" s="72">
        <v>68.459999999999994</v>
      </c>
      <c r="D97" s="64">
        <f t="shared" si="1"/>
        <v>1.0083959346000884</v>
      </c>
      <c r="E97" s="54">
        <v>68.459999999999994</v>
      </c>
    </row>
    <row r="98" spans="1:5">
      <c r="A98" s="52">
        <v>26603</v>
      </c>
      <c r="B98" s="72">
        <v>68.95</v>
      </c>
      <c r="C98" s="72">
        <v>68.95</v>
      </c>
      <c r="D98" s="64">
        <f t="shared" si="1"/>
        <v>1.007157464212679</v>
      </c>
      <c r="E98" s="54">
        <v>68.95</v>
      </c>
    </row>
    <row r="99" spans="1:5">
      <c r="A99" s="52">
        <v>26633</v>
      </c>
      <c r="B99" s="72">
        <v>69.61</v>
      </c>
      <c r="C99" s="72">
        <v>69.61</v>
      </c>
      <c r="D99" s="64">
        <f t="shared" si="1"/>
        <v>1.0095721537345903</v>
      </c>
      <c r="E99" s="54">
        <v>69.61</v>
      </c>
    </row>
    <row r="100" spans="1:5">
      <c r="A100" s="52">
        <v>26664</v>
      </c>
      <c r="B100" s="72">
        <v>70.069999999999993</v>
      </c>
      <c r="C100" s="72">
        <v>70.069999999999993</v>
      </c>
      <c r="D100" s="64">
        <f t="shared" si="1"/>
        <v>1.006608245941675</v>
      </c>
      <c r="E100" s="54">
        <v>70.069999999999993</v>
      </c>
    </row>
    <row r="101" spans="1:5">
      <c r="A101" s="52">
        <v>26695</v>
      </c>
      <c r="B101" s="72">
        <v>70.87</v>
      </c>
      <c r="C101" s="72">
        <v>70.87</v>
      </c>
      <c r="D101" s="64">
        <f t="shared" si="1"/>
        <v>1.0114171542742973</v>
      </c>
      <c r="E101" s="54">
        <v>70.87</v>
      </c>
    </row>
    <row r="102" spans="1:5">
      <c r="A102" s="52">
        <v>26723</v>
      </c>
      <c r="B102" s="72">
        <v>71.569999999999993</v>
      </c>
      <c r="C102" s="72">
        <v>71.569999999999993</v>
      </c>
      <c r="D102" s="64">
        <f t="shared" si="1"/>
        <v>1.0098772400169322</v>
      </c>
      <c r="E102" s="54">
        <v>71.569999999999993</v>
      </c>
    </row>
    <row r="103" spans="1:5">
      <c r="A103" s="52">
        <v>26754</v>
      </c>
      <c r="B103" s="72">
        <v>72.319999999999993</v>
      </c>
      <c r="C103" s="72">
        <v>72.319999999999993</v>
      </c>
      <c r="D103" s="64">
        <f t="shared" si="1"/>
        <v>1.010479251082856</v>
      </c>
      <c r="E103" s="54">
        <v>72.319999999999993</v>
      </c>
    </row>
    <row r="104" spans="1:5">
      <c r="A104" s="52">
        <v>26784</v>
      </c>
      <c r="B104" s="72">
        <v>73.19</v>
      </c>
      <c r="C104" s="72">
        <v>73.19</v>
      </c>
      <c r="D104" s="64">
        <f t="shared" si="1"/>
        <v>1.0120298672566372</v>
      </c>
      <c r="E104" s="54">
        <v>73.19</v>
      </c>
    </row>
    <row r="105" spans="1:5">
      <c r="A105" s="52">
        <v>26815</v>
      </c>
      <c r="B105" s="72">
        <v>74.03</v>
      </c>
      <c r="C105" s="72">
        <v>74.03</v>
      </c>
      <c r="D105" s="64">
        <f t="shared" si="1"/>
        <v>1.0114769777291981</v>
      </c>
      <c r="E105" s="54">
        <v>74.03</v>
      </c>
    </row>
    <row r="106" spans="1:5">
      <c r="A106" s="52">
        <v>26845</v>
      </c>
      <c r="B106" s="72">
        <v>74.97</v>
      </c>
      <c r="C106" s="72">
        <v>74.97</v>
      </c>
      <c r="D106" s="64">
        <f t="shared" si="1"/>
        <v>1.0126975550452519</v>
      </c>
      <c r="E106" s="54">
        <v>74.97</v>
      </c>
    </row>
    <row r="107" spans="1:5">
      <c r="A107" s="52">
        <v>26876</v>
      </c>
      <c r="B107" s="72">
        <v>75.8</v>
      </c>
      <c r="C107" s="72">
        <v>75.8</v>
      </c>
      <c r="D107" s="64">
        <f t="shared" si="1"/>
        <v>1.0110710951047086</v>
      </c>
      <c r="E107" s="54">
        <v>75.8</v>
      </c>
    </row>
    <row r="108" spans="1:5">
      <c r="A108" s="52">
        <v>26907</v>
      </c>
      <c r="B108" s="72">
        <v>76.48</v>
      </c>
      <c r="C108" s="72">
        <v>76.48</v>
      </c>
      <c r="D108" s="64">
        <f t="shared" si="1"/>
        <v>1.0089709762532983</v>
      </c>
      <c r="E108" s="54">
        <v>76.48</v>
      </c>
    </row>
    <row r="109" spans="1:5">
      <c r="A109" s="52">
        <v>26937</v>
      </c>
      <c r="B109" s="72">
        <v>77.12</v>
      </c>
      <c r="C109" s="72">
        <v>77.12</v>
      </c>
      <c r="D109" s="64">
        <f t="shared" si="1"/>
        <v>1.00836820083682</v>
      </c>
      <c r="E109" s="54">
        <v>77.12</v>
      </c>
    </row>
    <row r="110" spans="1:5">
      <c r="A110" s="52">
        <v>26968</v>
      </c>
      <c r="B110" s="72">
        <v>77.87</v>
      </c>
      <c r="C110" s="72">
        <v>77.87</v>
      </c>
      <c r="D110" s="64">
        <f t="shared" si="1"/>
        <v>1.0097251037344399</v>
      </c>
      <c r="E110" s="54">
        <v>77.87</v>
      </c>
    </row>
    <row r="111" spans="1:5">
      <c r="A111" s="52">
        <v>26998</v>
      </c>
      <c r="B111" s="72">
        <v>78.400000000000006</v>
      </c>
      <c r="C111" s="72">
        <v>78.400000000000006</v>
      </c>
      <c r="D111" s="64">
        <f t="shared" si="1"/>
        <v>1.0068062154873507</v>
      </c>
      <c r="E111" s="54">
        <v>78.400000000000006</v>
      </c>
    </row>
    <row r="112" spans="1:5">
      <c r="A112" s="52">
        <v>27029</v>
      </c>
      <c r="B112" s="72">
        <v>79.069999999999993</v>
      </c>
      <c r="C112" s="72">
        <v>79.069999999999993</v>
      </c>
      <c r="D112" s="64">
        <f t="shared" si="1"/>
        <v>1.0085459183673469</v>
      </c>
      <c r="E112" s="54">
        <v>79.069999999999993</v>
      </c>
    </row>
    <row r="113" spans="1:5">
      <c r="A113" s="52">
        <v>27060</v>
      </c>
      <c r="B113" s="72">
        <v>80.62</v>
      </c>
      <c r="C113" s="72">
        <v>80.62</v>
      </c>
      <c r="D113" s="64">
        <f t="shared" si="1"/>
        <v>1.019602883520931</v>
      </c>
      <c r="E113" s="54">
        <v>80.62</v>
      </c>
    </row>
    <row r="114" spans="1:5">
      <c r="A114" s="52">
        <v>27088</v>
      </c>
      <c r="B114" s="72">
        <v>81.47</v>
      </c>
      <c r="C114" s="72">
        <v>81.47</v>
      </c>
      <c r="D114" s="64">
        <f t="shared" si="1"/>
        <v>1.010543289506326</v>
      </c>
      <c r="E114" s="54">
        <v>81.47</v>
      </c>
    </row>
    <row r="115" spans="1:5">
      <c r="A115" s="52">
        <v>27119</v>
      </c>
      <c r="B115" s="72">
        <v>82.69</v>
      </c>
      <c r="C115" s="72">
        <v>82.69</v>
      </c>
      <c r="D115" s="64">
        <f t="shared" si="1"/>
        <v>1.0149748373634466</v>
      </c>
      <c r="E115" s="54">
        <v>82.69</v>
      </c>
    </row>
    <row r="116" spans="1:5">
      <c r="A116" s="52">
        <v>27149</v>
      </c>
      <c r="B116" s="72">
        <v>83.73</v>
      </c>
      <c r="C116" s="72">
        <v>83.73</v>
      </c>
      <c r="D116" s="64">
        <f t="shared" si="1"/>
        <v>1.012577095174749</v>
      </c>
      <c r="E116" s="54">
        <v>83.73</v>
      </c>
    </row>
    <row r="117" spans="1:5">
      <c r="A117" s="52">
        <v>27180</v>
      </c>
      <c r="B117" s="72">
        <v>85.1</v>
      </c>
      <c r="C117" s="72">
        <v>85.1</v>
      </c>
      <c r="D117" s="64">
        <f t="shared" si="1"/>
        <v>1.0163621163262868</v>
      </c>
      <c r="E117" s="54">
        <v>85.1</v>
      </c>
    </row>
    <row r="118" spans="1:5">
      <c r="A118" s="52">
        <v>27210</v>
      </c>
      <c r="B118" s="72">
        <v>86.91</v>
      </c>
      <c r="C118" s="72">
        <v>86.91</v>
      </c>
      <c r="D118" s="64">
        <f t="shared" si="1"/>
        <v>1.0212690951821386</v>
      </c>
      <c r="E118" s="54">
        <v>86.91</v>
      </c>
    </row>
    <row r="119" spans="1:5">
      <c r="A119" s="52">
        <v>27241</v>
      </c>
      <c r="B119" s="72">
        <v>89.8</v>
      </c>
      <c r="C119" s="72">
        <v>89.8</v>
      </c>
      <c r="D119" s="64">
        <f t="shared" si="1"/>
        <v>1.0332527902427799</v>
      </c>
      <c r="E119" s="54">
        <v>89.8</v>
      </c>
    </row>
    <row r="120" spans="1:5">
      <c r="A120" s="52">
        <v>27272</v>
      </c>
      <c r="B120" s="72">
        <v>93.75</v>
      </c>
      <c r="C120" s="72">
        <v>93.75</v>
      </c>
      <c r="D120" s="64">
        <f t="shared" si="1"/>
        <v>1.0439866369710469</v>
      </c>
      <c r="E120" s="54">
        <v>93.75</v>
      </c>
    </row>
    <row r="121" spans="1:5">
      <c r="A121" s="52">
        <v>27302</v>
      </c>
      <c r="B121" s="72">
        <v>98.22</v>
      </c>
      <c r="C121" s="72">
        <v>98.22</v>
      </c>
      <c r="D121" s="64">
        <f t="shared" si="1"/>
        <v>1.0476799999999999</v>
      </c>
      <c r="E121" s="54">
        <v>98.22</v>
      </c>
    </row>
    <row r="122" spans="1:5">
      <c r="A122" s="52">
        <v>27333</v>
      </c>
      <c r="B122" s="72">
        <v>101.9</v>
      </c>
      <c r="C122" s="72">
        <v>101.9</v>
      </c>
      <c r="D122" s="64">
        <f t="shared" si="1"/>
        <v>1.0374669110160863</v>
      </c>
      <c r="E122" s="54">
        <v>101.9</v>
      </c>
    </row>
    <row r="123" spans="1:5">
      <c r="A123" s="52">
        <v>27363</v>
      </c>
      <c r="B123" s="72">
        <v>104.1</v>
      </c>
      <c r="C123" s="72">
        <v>104.1</v>
      </c>
      <c r="D123" s="64">
        <f t="shared" si="1"/>
        <v>1.0215897939156033</v>
      </c>
      <c r="E123" s="54">
        <v>104.1</v>
      </c>
    </row>
    <row r="124" spans="1:5">
      <c r="A124" s="52">
        <v>27394</v>
      </c>
      <c r="B124" s="72">
        <v>105.41</v>
      </c>
      <c r="C124" s="72">
        <v>105.41</v>
      </c>
      <c r="D124" s="64">
        <f t="shared" si="1"/>
        <v>1.0125840537944284</v>
      </c>
      <c r="E124" s="54">
        <v>105.41</v>
      </c>
    </row>
    <row r="125" spans="1:5">
      <c r="A125" s="52">
        <v>27425</v>
      </c>
      <c r="B125" s="72">
        <v>106.76</v>
      </c>
      <c r="C125" s="72">
        <v>106.76</v>
      </c>
      <c r="D125" s="64">
        <f t="shared" si="1"/>
        <v>1.0128071340480032</v>
      </c>
      <c r="E125" s="54">
        <v>106.76</v>
      </c>
    </row>
    <row r="126" spans="1:5">
      <c r="A126" s="52">
        <v>27453</v>
      </c>
      <c r="B126" s="72">
        <v>108.38</v>
      </c>
      <c r="C126" s="72">
        <v>108.38</v>
      </c>
      <c r="D126" s="64">
        <f t="shared" si="1"/>
        <v>1.015174222555264</v>
      </c>
      <c r="E126" s="54">
        <v>108.38</v>
      </c>
    </row>
    <row r="127" spans="1:5">
      <c r="A127" s="52">
        <v>27484</v>
      </c>
      <c r="B127" s="72">
        <v>110.18</v>
      </c>
      <c r="C127" s="72">
        <v>110.18</v>
      </c>
      <c r="D127" s="64">
        <f t="shared" si="1"/>
        <v>1.0166082303007935</v>
      </c>
      <c r="E127" s="54">
        <v>110.18</v>
      </c>
    </row>
    <row r="128" spans="1:5">
      <c r="A128" s="52">
        <v>27514</v>
      </c>
      <c r="B128" s="72">
        <v>112.25</v>
      </c>
      <c r="C128" s="72">
        <v>112.25</v>
      </c>
      <c r="D128" s="64">
        <f t="shared" si="1"/>
        <v>1.0187874387366127</v>
      </c>
      <c r="E128" s="54">
        <v>112.25</v>
      </c>
    </row>
    <row r="129" spans="1:5">
      <c r="A129" s="52">
        <v>27545</v>
      </c>
      <c r="B129" s="72">
        <v>114.49</v>
      </c>
      <c r="C129" s="72">
        <v>114.49</v>
      </c>
      <c r="D129" s="64">
        <f t="shared" si="1"/>
        <v>1.0199554565701558</v>
      </c>
      <c r="E129" s="54">
        <v>114.49</v>
      </c>
    </row>
    <row r="130" spans="1:5">
      <c r="A130" s="52">
        <v>27575</v>
      </c>
      <c r="B130" s="72">
        <v>117.13</v>
      </c>
      <c r="C130" s="72">
        <v>117.13</v>
      </c>
      <c r="D130" s="64">
        <f t="shared" ref="D130:D193" si="2">B130/B129</f>
        <v>1.0230587824264128</v>
      </c>
      <c r="E130" s="54">
        <v>117.13</v>
      </c>
    </row>
    <row r="131" spans="1:5">
      <c r="A131" s="52">
        <v>27606</v>
      </c>
      <c r="B131" s="72">
        <v>119.27</v>
      </c>
      <c r="C131" s="72">
        <v>119.27</v>
      </c>
      <c r="D131" s="64">
        <f t="shared" si="2"/>
        <v>1.0182702979595322</v>
      </c>
      <c r="E131" s="54">
        <v>119.27</v>
      </c>
    </row>
    <row r="132" spans="1:5">
      <c r="A132" s="52">
        <v>27637</v>
      </c>
      <c r="B132" s="72">
        <v>121.31</v>
      </c>
      <c r="C132" s="72">
        <v>121.31</v>
      </c>
      <c r="D132" s="64">
        <f t="shared" si="2"/>
        <v>1.0171040496352814</v>
      </c>
      <c r="E132" s="54">
        <v>121.31</v>
      </c>
    </row>
    <row r="133" spans="1:5">
      <c r="A133" s="52">
        <v>27667</v>
      </c>
      <c r="B133" s="72">
        <v>123.2</v>
      </c>
      <c r="C133" s="72">
        <v>123.2</v>
      </c>
      <c r="D133" s="64">
        <f t="shared" si="2"/>
        <v>1.0155799192152337</v>
      </c>
      <c r="E133" s="54">
        <v>123.2</v>
      </c>
    </row>
    <row r="134" spans="1:5">
      <c r="A134" s="52">
        <v>27698</v>
      </c>
      <c r="B134" s="72">
        <v>125.7</v>
      </c>
      <c r="C134" s="72">
        <v>125.7</v>
      </c>
      <c r="D134" s="64">
        <f t="shared" si="2"/>
        <v>1.0202922077922079</v>
      </c>
      <c r="E134" s="54">
        <v>125.7</v>
      </c>
    </row>
    <row r="135" spans="1:5">
      <c r="A135" s="52">
        <v>27728</v>
      </c>
      <c r="B135" s="72">
        <v>128.43</v>
      </c>
      <c r="C135" s="72">
        <v>128.43</v>
      </c>
      <c r="D135" s="64">
        <f t="shared" si="2"/>
        <v>1.0217183770883056</v>
      </c>
      <c r="E135" s="54">
        <v>128.43</v>
      </c>
    </row>
    <row r="136" spans="1:5">
      <c r="A136" s="52">
        <v>27759</v>
      </c>
      <c r="B136" s="72">
        <v>130.93</v>
      </c>
      <c r="C136" s="72">
        <v>130.93</v>
      </c>
      <c r="D136" s="64">
        <f t="shared" si="2"/>
        <v>1.0194658568870201</v>
      </c>
      <c r="E136" s="54">
        <v>130.93</v>
      </c>
    </row>
    <row r="137" spans="1:5">
      <c r="A137" s="52">
        <v>27790</v>
      </c>
      <c r="B137" s="72">
        <v>133.34</v>
      </c>
      <c r="C137" s="72">
        <v>133.34</v>
      </c>
      <c r="D137" s="64">
        <f t="shared" si="2"/>
        <v>1.0184067822500573</v>
      </c>
      <c r="E137" s="54">
        <v>133.34</v>
      </c>
    </row>
    <row r="138" spans="1:5">
      <c r="A138" s="52">
        <v>27819</v>
      </c>
      <c r="B138" s="72">
        <v>135.9</v>
      </c>
      <c r="C138" s="72">
        <v>135.9</v>
      </c>
      <c r="D138" s="64">
        <f t="shared" si="2"/>
        <v>1.0191990400479976</v>
      </c>
      <c r="E138" s="54">
        <v>135.9</v>
      </c>
    </row>
    <row r="139" spans="1:5">
      <c r="A139" s="52">
        <v>27850</v>
      </c>
      <c r="B139" s="72">
        <v>138.94</v>
      </c>
      <c r="C139" s="72">
        <v>138.94</v>
      </c>
      <c r="D139" s="64">
        <f t="shared" si="2"/>
        <v>1.0223693892568064</v>
      </c>
      <c r="E139" s="54">
        <v>138.94</v>
      </c>
    </row>
    <row r="140" spans="1:5">
      <c r="A140" s="52">
        <v>27880</v>
      </c>
      <c r="B140" s="72">
        <v>142.24</v>
      </c>
      <c r="C140" s="72">
        <v>142.24</v>
      </c>
      <c r="D140" s="64">
        <f t="shared" si="2"/>
        <v>1.0237512595364906</v>
      </c>
      <c r="E140" s="54">
        <v>142.24</v>
      </c>
    </row>
    <row r="141" spans="1:5">
      <c r="A141" s="52">
        <v>27911</v>
      </c>
      <c r="B141" s="72">
        <v>145.83000000000001</v>
      </c>
      <c r="C141" s="72">
        <v>145.83000000000001</v>
      </c>
      <c r="D141" s="64">
        <f t="shared" si="2"/>
        <v>1.0252390326209224</v>
      </c>
      <c r="E141" s="54">
        <v>145.83000000000001</v>
      </c>
    </row>
    <row r="142" spans="1:5">
      <c r="A142" s="52">
        <v>27941</v>
      </c>
      <c r="B142" s="72">
        <v>150.16999999999999</v>
      </c>
      <c r="C142" s="72">
        <v>150.16999999999999</v>
      </c>
      <c r="D142" s="64">
        <f t="shared" si="2"/>
        <v>1.0297606802441197</v>
      </c>
      <c r="E142" s="54">
        <v>150.16999999999999</v>
      </c>
    </row>
    <row r="143" spans="1:5">
      <c r="A143" s="52">
        <v>27972</v>
      </c>
      <c r="B143" s="72">
        <v>154.6</v>
      </c>
      <c r="C143" s="72">
        <v>154.6</v>
      </c>
      <c r="D143" s="64">
        <f t="shared" si="2"/>
        <v>1.029499900113205</v>
      </c>
      <c r="E143" s="54">
        <v>154.6</v>
      </c>
    </row>
    <row r="144" spans="1:5">
      <c r="A144" s="52">
        <v>28003</v>
      </c>
      <c r="B144" s="72">
        <v>158.55000000000001</v>
      </c>
      <c r="C144" s="72">
        <v>158.55000000000001</v>
      </c>
      <c r="D144" s="64">
        <f t="shared" si="2"/>
        <v>1.025549805950841</v>
      </c>
      <c r="E144" s="54">
        <v>158.55000000000001</v>
      </c>
    </row>
    <row r="145" spans="1:5">
      <c r="A145" s="52">
        <v>28033</v>
      </c>
      <c r="B145" s="72">
        <v>162.97</v>
      </c>
      <c r="C145" s="72">
        <v>162.97</v>
      </c>
      <c r="D145" s="64">
        <f t="shared" si="2"/>
        <v>1.0278776411226742</v>
      </c>
      <c r="E145" s="54">
        <v>162.97</v>
      </c>
    </row>
    <row r="146" spans="1:5">
      <c r="A146" s="52">
        <v>28064</v>
      </c>
      <c r="B146" s="72">
        <v>168.33</v>
      </c>
      <c r="C146" s="72">
        <v>168.33</v>
      </c>
      <c r="D146" s="64">
        <f t="shared" si="2"/>
        <v>1.0328894888629809</v>
      </c>
      <c r="E146" s="54">
        <v>168.33</v>
      </c>
    </row>
    <row r="147" spans="1:5">
      <c r="A147" s="52">
        <v>28094</v>
      </c>
      <c r="B147" s="72">
        <v>174.4</v>
      </c>
      <c r="C147" s="72">
        <v>174.4</v>
      </c>
      <c r="D147" s="64">
        <f t="shared" si="2"/>
        <v>1.0360601200023762</v>
      </c>
      <c r="E147" s="54">
        <v>174.4</v>
      </c>
    </row>
    <row r="148" spans="1:5">
      <c r="A148" s="52">
        <v>28125</v>
      </c>
      <c r="B148" s="72">
        <v>179.68</v>
      </c>
      <c r="C148" s="72">
        <v>179.68</v>
      </c>
      <c r="D148" s="64">
        <f t="shared" si="2"/>
        <v>1.0302752293577981</v>
      </c>
      <c r="E148" s="54">
        <v>179.68</v>
      </c>
    </row>
    <row r="149" spans="1:5">
      <c r="A149" s="52">
        <v>28156</v>
      </c>
      <c r="B149" s="72">
        <v>183.65</v>
      </c>
      <c r="C149" s="72">
        <v>183.65</v>
      </c>
      <c r="D149" s="64">
        <f t="shared" si="2"/>
        <v>1.0220948352626893</v>
      </c>
      <c r="E149" s="54">
        <v>183.65</v>
      </c>
    </row>
    <row r="150" spans="1:5">
      <c r="A150" s="52">
        <v>28184</v>
      </c>
      <c r="B150" s="72">
        <v>186.83</v>
      </c>
      <c r="C150" s="72">
        <v>186.83</v>
      </c>
      <c r="D150" s="64">
        <f t="shared" si="2"/>
        <v>1.0173155458753063</v>
      </c>
      <c r="E150" s="54">
        <v>186.83</v>
      </c>
    </row>
    <row r="151" spans="1:5">
      <c r="A151" s="52">
        <v>28215</v>
      </c>
      <c r="B151" s="72">
        <v>190.51</v>
      </c>
      <c r="C151" s="72">
        <v>190.51</v>
      </c>
      <c r="D151" s="64">
        <f t="shared" si="2"/>
        <v>1.0196970507948402</v>
      </c>
      <c r="E151" s="54">
        <v>190.51</v>
      </c>
    </row>
    <row r="152" spans="1:5">
      <c r="A152" s="52">
        <v>28245</v>
      </c>
      <c r="B152" s="72">
        <v>194.83</v>
      </c>
      <c r="C152" s="72">
        <v>194.83</v>
      </c>
      <c r="D152" s="64">
        <f t="shared" si="2"/>
        <v>1.022675975014435</v>
      </c>
      <c r="E152" s="54">
        <v>194.83</v>
      </c>
    </row>
    <row r="153" spans="1:5">
      <c r="A153" s="52">
        <v>28276</v>
      </c>
      <c r="B153" s="72">
        <v>200.45</v>
      </c>
      <c r="C153" s="72">
        <v>200.45</v>
      </c>
      <c r="D153" s="64">
        <f t="shared" si="2"/>
        <v>1.0288456603192526</v>
      </c>
      <c r="E153" s="54">
        <v>200.45</v>
      </c>
    </row>
    <row r="154" spans="1:5">
      <c r="A154" s="52">
        <v>28306</v>
      </c>
      <c r="B154" s="72">
        <v>206.9</v>
      </c>
      <c r="C154" s="72">
        <v>206.9</v>
      </c>
      <c r="D154" s="64">
        <f t="shared" si="2"/>
        <v>1.0321776003991021</v>
      </c>
      <c r="E154" s="54">
        <v>206.9</v>
      </c>
    </row>
    <row r="155" spans="1:5">
      <c r="A155" s="52">
        <v>28337</v>
      </c>
      <c r="B155" s="72">
        <v>213.8</v>
      </c>
      <c r="C155" s="72">
        <v>213.8</v>
      </c>
      <c r="D155" s="64">
        <f t="shared" si="2"/>
        <v>1.0333494441759303</v>
      </c>
      <c r="E155" s="54">
        <v>213.8</v>
      </c>
    </row>
    <row r="156" spans="1:5">
      <c r="A156" s="52">
        <v>28368</v>
      </c>
      <c r="B156" s="72">
        <v>219.51</v>
      </c>
      <c r="C156" s="72">
        <v>219.51</v>
      </c>
      <c r="D156" s="64">
        <f t="shared" si="2"/>
        <v>1.0267072029934516</v>
      </c>
      <c r="E156" s="54">
        <v>219.51</v>
      </c>
    </row>
    <row r="157" spans="1:5">
      <c r="A157" s="52">
        <v>28398</v>
      </c>
      <c r="B157" s="72">
        <v>224.01</v>
      </c>
      <c r="C157" s="72">
        <v>224.01</v>
      </c>
      <c r="D157" s="64">
        <f t="shared" si="2"/>
        <v>1.02050020500205</v>
      </c>
      <c r="E157" s="54">
        <v>224.01</v>
      </c>
    </row>
    <row r="158" spans="1:5">
      <c r="A158" s="52">
        <v>28429</v>
      </c>
      <c r="B158" s="72">
        <v>227.15</v>
      </c>
      <c r="C158" s="72">
        <v>227.15</v>
      </c>
      <c r="D158" s="64">
        <f t="shared" si="2"/>
        <v>1.0140172313735996</v>
      </c>
      <c r="E158" s="54">
        <v>227.15</v>
      </c>
    </row>
    <row r="159" spans="1:5">
      <c r="A159" s="52">
        <v>28459</v>
      </c>
      <c r="B159" s="72">
        <v>230.3</v>
      </c>
      <c r="C159" s="72">
        <v>230.3</v>
      </c>
      <c r="D159" s="64">
        <f t="shared" si="2"/>
        <v>1.0138674884437597</v>
      </c>
      <c r="E159" s="54">
        <v>230.3</v>
      </c>
    </row>
    <row r="160" spans="1:5">
      <c r="A160" s="52">
        <v>28490</v>
      </c>
      <c r="B160" s="72">
        <v>233.74</v>
      </c>
      <c r="C160" s="72">
        <v>233.74</v>
      </c>
      <c r="D160" s="64">
        <f t="shared" si="2"/>
        <v>1.0149370386452454</v>
      </c>
      <c r="E160" s="54">
        <v>233.74</v>
      </c>
    </row>
    <row r="161" spans="1:5">
      <c r="A161" s="52">
        <v>28521</v>
      </c>
      <c r="B161" s="72">
        <v>238.32</v>
      </c>
      <c r="C161" s="72">
        <v>238.32</v>
      </c>
      <c r="D161" s="64">
        <f t="shared" si="2"/>
        <v>1.019594421151707</v>
      </c>
      <c r="E161" s="54">
        <v>238.32</v>
      </c>
    </row>
    <row r="162" spans="1:5">
      <c r="A162" s="52">
        <v>28549</v>
      </c>
      <c r="B162" s="72">
        <v>243.35</v>
      </c>
      <c r="C162" s="72">
        <v>243.35</v>
      </c>
      <c r="D162" s="64">
        <f t="shared" si="2"/>
        <v>1.021106075864384</v>
      </c>
      <c r="E162" s="54">
        <v>243.35</v>
      </c>
    </row>
    <row r="163" spans="1:5">
      <c r="A163" s="52">
        <v>28580</v>
      </c>
      <c r="B163" s="72">
        <v>248.99</v>
      </c>
      <c r="C163" s="72">
        <v>248.99</v>
      </c>
      <c r="D163" s="64">
        <f t="shared" si="2"/>
        <v>1.023176494760633</v>
      </c>
      <c r="E163" s="54">
        <v>248.99</v>
      </c>
    </row>
    <row r="164" spans="1:5">
      <c r="A164" s="52">
        <v>28610</v>
      </c>
      <c r="B164" s="72">
        <v>255.41</v>
      </c>
      <c r="C164" s="72">
        <v>255.41</v>
      </c>
      <c r="D164" s="64">
        <f t="shared" si="2"/>
        <v>1.0257841680388771</v>
      </c>
      <c r="E164" s="54">
        <v>255.41</v>
      </c>
    </row>
    <row r="165" spans="1:5">
      <c r="A165" s="52">
        <v>28641</v>
      </c>
      <c r="B165" s="72">
        <v>262.87</v>
      </c>
      <c r="C165" s="72">
        <v>262.87</v>
      </c>
      <c r="D165" s="64">
        <f t="shared" si="2"/>
        <v>1.0292079401746212</v>
      </c>
      <c r="E165" s="54">
        <v>262.87</v>
      </c>
    </row>
    <row r="166" spans="1:5">
      <c r="A166" s="52">
        <v>28671</v>
      </c>
      <c r="B166" s="72">
        <v>270.88</v>
      </c>
      <c r="C166" s="72">
        <v>270.88</v>
      </c>
      <c r="D166" s="64">
        <f t="shared" si="2"/>
        <v>1.0304713356411914</v>
      </c>
      <c r="E166" s="54">
        <v>270.88</v>
      </c>
    </row>
    <row r="167" spans="1:5">
      <c r="A167" s="52">
        <v>28702</v>
      </c>
      <c r="B167" s="72">
        <v>279.04000000000002</v>
      </c>
      <c r="C167" s="72">
        <v>279.04000000000002</v>
      </c>
      <c r="D167" s="64">
        <f t="shared" si="2"/>
        <v>1.0301240401653871</v>
      </c>
      <c r="E167" s="54">
        <v>279.04000000000002</v>
      </c>
    </row>
    <row r="168" spans="1:5">
      <c r="A168" s="52">
        <v>28733</v>
      </c>
      <c r="B168" s="72">
        <v>287.58</v>
      </c>
      <c r="C168" s="72">
        <v>287.58</v>
      </c>
      <c r="D168" s="64">
        <f t="shared" si="2"/>
        <v>1.0306049311926604</v>
      </c>
      <c r="E168" s="54">
        <v>287.58</v>
      </c>
    </row>
    <row r="169" spans="1:5">
      <c r="A169" s="52">
        <v>28763</v>
      </c>
      <c r="B169" s="72">
        <v>295.57</v>
      </c>
      <c r="C169" s="72">
        <v>295.57</v>
      </c>
      <c r="D169" s="64">
        <f t="shared" si="2"/>
        <v>1.0277835732665694</v>
      </c>
      <c r="E169" s="54">
        <v>295.57</v>
      </c>
    </row>
    <row r="170" spans="1:5">
      <c r="A170" s="52">
        <v>28794</v>
      </c>
      <c r="B170" s="72">
        <v>303.29000000000002</v>
      </c>
      <c r="C170" s="72">
        <v>303.29000000000002</v>
      </c>
      <c r="D170" s="64">
        <f t="shared" si="2"/>
        <v>1.026119024258213</v>
      </c>
      <c r="E170" s="54">
        <v>303.29000000000002</v>
      </c>
    </row>
    <row r="171" spans="1:5">
      <c r="A171" s="52">
        <v>28824</v>
      </c>
      <c r="B171" s="72">
        <v>310.49</v>
      </c>
      <c r="C171" s="72">
        <v>310.49</v>
      </c>
      <c r="D171" s="64">
        <f t="shared" si="2"/>
        <v>1.023739655115566</v>
      </c>
      <c r="E171" s="54">
        <v>310.49</v>
      </c>
    </row>
    <row r="172" spans="1:5">
      <c r="A172" s="52">
        <v>28855</v>
      </c>
      <c r="B172" s="72">
        <v>318.44</v>
      </c>
      <c r="C172" s="72">
        <v>318.44</v>
      </c>
      <c r="D172" s="64">
        <f t="shared" si="2"/>
        <v>1.0256046893619761</v>
      </c>
      <c r="E172" s="54">
        <v>318.44</v>
      </c>
    </row>
    <row r="173" spans="1:5">
      <c r="A173" s="52">
        <v>28886</v>
      </c>
      <c r="B173" s="72">
        <v>326.82</v>
      </c>
      <c r="C173" s="72">
        <v>326.82</v>
      </c>
      <c r="D173" s="64">
        <f t="shared" si="2"/>
        <v>1.0263157894736843</v>
      </c>
      <c r="E173" s="54">
        <v>326.82</v>
      </c>
    </row>
    <row r="174" spans="1:5">
      <c r="A174" s="52">
        <v>28914</v>
      </c>
      <c r="B174" s="72">
        <v>334.2</v>
      </c>
      <c r="C174" s="72">
        <v>334.2</v>
      </c>
      <c r="D174" s="64">
        <f t="shared" si="2"/>
        <v>1.0225812373783734</v>
      </c>
      <c r="E174" s="54">
        <v>334.2</v>
      </c>
    </row>
    <row r="175" spans="1:5">
      <c r="A175" s="52">
        <v>28945</v>
      </c>
      <c r="B175" s="72">
        <v>341.97</v>
      </c>
      <c r="C175" s="72">
        <v>341.97</v>
      </c>
      <c r="D175" s="64">
        <f t="shared" si="2"/>
        <v>1.0232495511669659</v>
      </c>
      <c r="E175" s="54">
        <v>341.97</v>
      </c>
    </row>
    <row r="176" spans="1:5">
      <c r="A176" s="52">
        <v>28975</v>
      </c>
      <c r="B176" s="72">
        <v>350.51</v>
      </c>
      <c r="C176" s="72">
        <v>350.51</v>
      </c>
      <c r="D176" s="64">
        <f t="shared" si="2"/>
        <v>1.0249729508436412</v>
      </c>
      <c r="E176" s="54">
        <v>350.51</v>
      </c>
    </row>
    <row r="177" spans="1:5">
      <c r="A177" s="52">
        <v>29006</v>
      </c>
      <c r="B177" s="72">
        <v>363.64</v>
      </c>
      <c r="C177" s="72">
        <v>363.64</v>
      </c>
      <c r="D177" s="64">
        <f t="shared" si="2"/>
        <v>1.037459701577701</v>
      </c>
      <c r="E177" s="54">
        <v>363.64</v>
      </c>
    </row>
    <row r="178" spans="1:5">
      <c r="A178" s="52">
        <v>29036</v>
      </c>
      <c r="B178" s="72">
        <v>377.54</v>
      </c>
      <c r="C178" s="72">
        <v>377.54</v>
      </c>
      <c r="D178" s="64">
        <f t="shared" si="2"/>
        <v>1.0382246177538226</v>
      </c>
      <c r="E178" s="54">
        <v>377.54</v>
      </c>
    </row>
    <row r="179" spans="1:5">
      <c r="A179" s="52">
        <v>29067</v>
      </c>
      <c r="B179" s="72">
        <v>390.1</v>
      </c>
      <c r="C179" s="72">
        <v>390.1</v>
      </c>
      <c r="D179" s="64">
        <f t="shared" si="2"/>
        <v>1.0332679980929174</v>
      </c>
      <c r="E179" s="54">
        <v>390.1</v>
      </c>
    </row>
    <row r="180" spans="1:5">
      <c r="A180" s="52">
        <v>29098</v>
      </c>
      <c r="B180" s="72">
        <v>400.71</v>
      </c>
      <c r="C180" s="72">
        <v>400.71</v>
      </c>
      <c r="D180" s="64">
        <f t="shared" si="2"/>
        <v>1.0271981543194051</v>
      </c>
      <c r="E180" s="54">
        <v>400.71</v>
      </c>
    </row>
    <row r="181" spans="1:5">
      <c r="A181" s="52">
        <v>29128</v>
      </c>
      <c r="B181" s="72">
        <v>412.24</v>
      </c>
      <c r="C181" s="72">
        <v>412.24</v>
      </c>
      <c r="D181" s="64">
        <f t="shared" si="2"/>
        <v>1.0287739262808515</v>
      </c>
      <c r="E181" s="54">
        <v>412.24</v>
      </c>
    </row>
    <row r="182" spans="1:5">
      <c r="A182" s="52">
        <v>29159</v>
      </c>
      <c r="B182" s="72">
        <v>428.8</v>
      </c>
      <c r="C182" s="72">
        <v>428.8</v>
      </c>
      <c r="D182" s="64">
        <f t="shared" si="2"/>
        <v>1.0401707743062294</v>
      </c>
      <c r="E182" s="54">
        <v>428.8</v>
      </c>
    </row>
    <row r="183" spans="1:5">
      <c r="A183" s="52">
        <v>29189</v>
      </c>
      <c r="B183" s="72">
        <v>448.47</v>
      </c>
      <c r="C183" s="72">
        <v>448.47</v>
      </c>
      <c r="D183" s="64">
        <f t="shared" si="2"/>
        <v>1.0458722014925375</v>
      </c>
      <c r="E183" s="54">
        <v>448.47</v>
      </c>
    </row>
    <row r="184" spans="1:5">
      <c r="A184" s="52">
        <v>29220</v>
      </c>
      <c r="B184" s="72">
        <v>468.71</v>
      </c>
      <c r="C184" s="72">
        <v>468.71</v>
      </c>
      <c r="D184" s="64">
        <f t="shared" si="2"/>
        <v>1.0451312239391708</v>
      </c>
      <c r="E184" s="54">
        <v>468.71</v>
      </c>
    </row>
    <row r="185" spans="1:5">
      <c r="A185" s="52">
        <v>29251</v>
      </c>
      <c r="B185" s="72">
        <v>487.83</v>
      </c>
      <c r="C185" s="72">
        <v>487.83</v>
      </c>
      <c r="D185" s="64">
        <f t="shared" si="2"/>
        <v>1.0407928143201552</v>
      </c>
      <c r="E185" s="54">
        <v>487.83</v>
      </c>
    </row>
    <row r="186" spans="1:5">
      <c r="A186" s="52">
        <v>29280</v>
      </c>
      <c r="B186" s="72">
        <v>508.33</v>
      </c>
      <c r="C186" s="72">
        <v>508.33</v>
      </c>
      <c r="D186" s="64">
        <f t="shared" si="2"/>
        <v>1.0420228358239552</v>
      </c>
      <c r="E186" s="54">
        <v>508.33</v>
      </c>
    </row>
    <row r="187" spans="1:5">
      <c r="A187" s="52">
        <v>29311</v>
      </c>
      <c r="B187" s="72">
        <v>527.14</v>
      </c>
      <c r="C187" s="72">
        <v>527.14</v>
      </c>
      <c r="D187" s="64">
        <f t="shared" si="2"/>
        <v>1.0370035213345661</v>
      </c>
      <c r="E187" s="54">
        <v>527.14</v>
      </c>
    </row>
    <row r="188" spans="1:5">
      <c r="A188" s="52">
        <v>29341</v>
      </c>
      <c r="B188" s="72">
        <v>546.64</v>
      </c>
      <c r="C188" s="72">
        <v>546.64</v>
      </c>
      <c r="D188" s="64">
        <f t="shared" si="2"/>
        <v>1.0369920704177258</v>
      </c>
      <c r="E188" s="54">
        <v>546.64</v>
      </c>
    </row>
    <row r="189" spans="1:5">
      <c r="A189" s="52">
        <v>29372</v>
      </c>
      <c r="B189" s="72">
        <v>566.86</v>
      </c>
      <c r="C189" s="72">
        <v>566.86</v>
      </c>
      <c r="D189" s="64">
        <f t="shared" si="2"/>
        <v>1.0369896092492317</v>
      </c>
      <c r="E189" s="54">
        <v>566.86</v>
      </c>
    </row>
    <row r="190" spans="1:5">
      <c r="A190" s="52">
        <v>29402</v>
      </c>
      <c r="B190" s="72">
        <v>586.13</v>
      </c>
      <c r="C190" s="72">
        <v>586.13</v>
      </c>
      <c r="D190" s="64">
        <f t="shared" si="2"/>
        <v>1.0339942843030026</v>
      </c>
      <c r="E190" s="54">
        <v>586.13</v>
      </c>
    </row>
    <row r="191" spans="1:5">
      <c r="A191" s="52">
        <v>29433</v>
      </c>
      <c r="B191" s="72">
        <v>604.89</v>
      </c>
      <c r="C191" s="72">
        <v>604.89</v>
      </c>
      <c r="D191" s="64">
        <f t="shared" si="2"/>
        <v>1.0320065514476311</v>
      </c>
      <c r="E191" s="54">
        <v>604.89</v>
      </c>
    </row>
    <row r="192" spans="1:5">
      <c r="A192" s="52">
        <v>29464</v>
      </c>
      <c r="B192" s="72">
        <v>624.25</v>
      </c>
      <c r="C192" s="72">
        <v>624.25</v>
      </c>
      <c r="D192" s="64">
        <f t="shared" si="2"/>
        <v>1.0320058192398618</v>
      </c>
      <c r="E192" s="54">
        <v>624.25</v>
      </c>
    </row>
    <row r="193" spans="1:5">
      <c r="A193" s="52">
        <v>29494</v>
      </c>
      <c r="B193" s="72">
        <v>644.23</v>
      </c>
      <c r="C193" s="72">
        <v>644.23</v>
      </c>
      <c r="D193" s="64">
        <f t="shared" si="2"/>
        <v>1.032006407689227</v>
      </c>
      <c r="E193" s="54">
        <v>644.23</v>
      </c>
    </row>
    <row r="194" spans="1:5">
      <c r="A194" s="52">
        <v>29525</v>
      </c>
      <c r="B194" s="72">
        <v>663.56</v>
      </c>
      <c r="C194" s="72">
        <v>663.56</v>
      </c>
      <c r="D194" s="64">
        <f t="shared" ref="D194:D257" si="3">B194/B193</f>
        <v>1.0300048119460441</v>
      </c>
      <c r="E194" s="54">
        <v>663.56</v>
      </c>
    </row>
    <row r="195" spans="1:5">
      <c r="A195" s="52">
        <v>29555</v>
      </c>
      <c r="B195" s="72">
        <v>684.79</v>
      </c>
      <c r="C195" s="72">
        <v>684.79</v>
      </c>
      <c r="D195" s="64">
        <f t="shared" si="3"/>
        <v>1.0319940924709146</v>
      </c>
      <c r="E195" s="54">
        <v>684.79</v>
      </c>
    </row>
    <row r="196" spans="1:5">
      <c r="A196" s="52">
        <v>29586</v>
      </c>
      <c r="B196" s="72">
        <v>706.7</v>
      </c>
      <c r="C196" s="72">
        <v>706.7</v>
      </c>
      <c r="D196" s="64">
        <f t="shared" si="3"/>
        <v>1.0319952102104295</v>
      </c>
      <c r="E196" s="54">
        <v>706.7</v>
      </c>
    </row>
    <row r="197" spans="1:5">
      <c r="A197" s="52">
        <v>29617</v>
      </c>
      <c r="B197" s="72">
        <v>738.5</v>
      </c>
      <c r="C197" s="72">
        <v>738.5</v>
      </c>
      <c r="D197" s="64">
        <f t="shared" si="3"/>
        <v>1.0449978774586104</v>
      </c>
      <c r="E197" s="54">
        <v>738.5</v>
      </c>
    </row>
    <row r="198" spans="1:5">
      <c r="A198" s="52">
        <v>29645</v>
      </c>
      <c r="B198" s="72">
        <v>775.43</v>
      </c>
      <c r="C198" s="72">
        <v>775.43</v>
      </c>
      <c r="D198" s="64">
        <f t="shared" si="3"/>
        <v>1.0500067704807041</v>
      </c>
      <c r="E198" s="54">
        <v>775.43</v>
      </c>
    </row>
    <row r="199" spans="1:5">
      <c r="A199" s="52">
        <v>29676</v>
      </c>
      <c r="B199" s="72">
        <v>825.83</v>
      </c>
      <c r="C199" s="72">
        <v>825.83</v>
      </c>
      <c r="D199" s="64">
        <f t="shared" si="3"/>
        <v>1.0649961956591827</v>
      </c>
      <c r="E199" s="54">
        <v>825.83</v>
      </c>
    </row>
    <row r="200" spans="1:5">
      <c r="A200" s="52">
        <v>29706</v>
      </c>
      <c r="B200" s="72">
        <v>877.86</v>
      </c>
      <c r="C200" s="72">
        <v>877.86</v>
      </c>
      <c r="D200" s="64">
        <f t="shared" si="3"/>
        <v>1.0630032815470496</v>
      </c>
      <c r="E200" s="54">
        <v>877.86</v>
      </c>
    </row>
    <row r="201" spans="1:5">
      <c r="A201" s="52">
        <v>29737</v>
      </c>
      <c r="B201" s="72">
        <v>930.53</v>
      </c>
      <c r="C201" s="72">
        <v>930.53</v>
      </c>
      <c r="D201" s="64">
        <f t="shared" si="3"/>
        <v>1.0599981773859157</v>
      </c>
      <c r="E201" s="54">
        <v>930.53</v>
      </c>
    </row>
    <row r="202" spans="1:5">
      <c r="A202" s="52">
        <v>29767</v>
      </c>
      <c r="B202" s="72">
        <v>986.36</v>
      </c>
      <c r="C202" s="72">
        <v>986.36</v>
      </c>
      <c r="D202" s="64">
        <f t="shared" si="3"/>
        <v>1.0599980656185186</v>
      </c>
      <c r="E202" s="54">
        <v>986.36</v>
      </c>
    </row>
    <row r="203" spans="1:5">
      <c r="A203" s="52">
        <v>29798</v>
      </c>
      <c r="B203" s="72">
        <v>1045.54</v>
      </c>
      <c r="C203" s="72">
        <v>1045.54</v>
      </c>
      <c r="D203" s="64">
        <f t="shared" si="3"/>
        <v>1.0599983778742041</v>
      </c>
      <c r="E203" s="54">
        <v>1045.54</v>
      </c>
    </row>
    <row r="204" spans="1:5">
      <c r="A204" s="52">
        <v>29829</v>
      </c>
      <c r="B204" s="72">
        <v>1108.27</v>
      </c>
      <c r="C204" s="72">
        <v>1108.27</v>
      </c>
      <c r="D204" s="64">
        <f t="shared" si="3"/>
        <v>1.0599977045354554</v>
      </c>
      <c r="E204" s="54">
        <v>1108.27</v>
      </c>
    </row>
    <row r="205" spans="1:5">
      <c r="A205" s="52">
        <v>29859</v>
      </c>
      <c r="B205" s="72">
        <v>1172.55</v>
      </c>
      <c r="C205" s="72">
        <v>1172.55</v>
      </c>
      <c r="D205" s="64">
        <f t="shared" si="3"/>
        <v>1.0580003067844479</v>
      </c>
      <c r="E205" s="54">
        <v>1172.55</v>
      </c>
    </row>
    <row r="206" spans="1:5">
      <c r="A206" s="52">
        <v>29890</v>
      </c>
      <c r="B206" s="72">
        <v>1239.3900000000001</v>
      </c>
      <c r="C206" s="72">
        <v>1239.3900000000001</v>
      </c>
      <c r="D206" s="64">
        <f t="shared" si="3"/>
        <v>1.057003965715748</v>
      </c>
      <c r="E206" s="54">
        <v>1239.3900000000001</v>
      </c>
    </row>
    <row r="207" spans="1:5">
      <c r="A207" s="52">
        <v>29920</v>
      </c>
      <c r="B207" s="72">
        <v>1310.04</v>
      </c>
      <c r="C207" s="72">
        <v>1310.04</v>
      </c>
      <c r="D207" s="64">
        <f t="shared" si="3"/>
        <v>1.0570038486674895</v>
      </c>
      <c r="E207" s="54">
        <v>1310.04</v>
      </c>
    </row>
    <row r="208" spans="1:5">
      <c r="A208" s="52">
        <v>29951</v>
      </c>
      <c r="B208" s="72">
        <v>1382.09</v>
      </c>
      <c r="C208" s="72">
        <v>1382.09</v>
      </c>
      <c r="D208" s="64">
        <f t="shared" si="3"/>
        <v>1.0549983206619644</v>
      </c>
      <c r="E208" s="54">
        <v>1382.09</v>
      </c>
    </row>
    <row r="209" spans="1:5">
      <c r="A209" s="52">
        <v>29982</v>
      </c>
      <c r="B209" s="72">
        <v>1453.96</v>
      </c>
      <c r="C209" s="72">
        <v>1453.96</v>
      </c>
      <c r="D209" s="64">
        <f t="shared" si="3"/>
        <v>1.0520009550752847</v>
      </c>
      <c r="E209" s="54">
        <v>1453.96</v>
      </c>
    </row>
    <row r="210" spans="1:5">
      <c r="A210" s="52">
        <v>30010</v>
      </c>
      <c r="B210" s="72">
        <v>1526.66</v>
      </c>
      <c r="C210" s="72">
        <v>1526.66</v>
      </c>
      <c r="D210" s="64">
        <f t="shared" si="3"/>
        <v>1.0500013755536604</v>
      </c>
      <c r="E210" s="54">
        <v>1526.66</v>
      </c>
    </row>
    <row r="211" spans="1:5">
      <c r="A211" s="52">
        <v>30041</v>
      </c>
      <c r="B211" s="72">
        <v>1602.99</v>
      </c>
      <c r="C211" s="72">
        <v>1602.99</v>
      </c>
      <c r="D211" s="64">
        <f t="shared" si="3"/>
        <v>1.0499980349259166</v>
      </c>
      <c r="E211" s="54">
        <v>1602.99</v>
      </c>
    </row>
    <row r="212" spans="1:5">
      <c r="A212" s="52">
        <v>30071</v>
      </c>
      <c r="B212" s="72">
        <v>1683.14</v>
      </c>
      <c r="C212" s="72">
        <v>1683.14</v>
      </c>
      <c r="D212" s="64">
        <f t="shared" si="3"/>
        <v>1.0500003119171049</v>
      </c>
      <c r="E212" s="54">
        <v>1683.14</v>
      </c>
    </row>
    <row r="213" spans="1:5">
      <c r="A213" s="52">
        <v>30102</v>
      </c>
      <c r="B213" s="72">
        <v>1775.71</v>
      </c>
      <c r="C213" s="72">
        <v>1775.71</v>
      </c>
      <c r="D213" s="64">
        <f t="shared" si="3"/>
        <v>1.0549983958553655</v>
      </c>
      <c r="E213" s="54">
        <v>1775.71</v>
      </c>
    </row>
    <row r="214" spans="1:5">
      <c r="A214" s="52">
        <v>30132</v>
      </c>
      <c r="B214" s="72">
        <v>1873.37</v>
      </c>
      <c r="C214" s="72">
        <v>1873.37</v>
      </c>
      <c r="D214" s="64">
        <f t="shared" si="3"/>
        <v>1.0549977192221702</v>
      </c>
      <c r="E214" s="54">
        <v>1873.37</v>
      </c>
    </row>
    <row r="215" spans="1:5">
      <c r="A215" s="52">
        <v>30163</v>
      </c>
      <c r="B215" s="72">
        <v>1976.41</v>
      </c>
      <c r="C215" s="72">
        <v>1976.41</v>
      </c>
      <c r="D215" s="64">
        <f t="shared" si="3"/>
        <v>1.0550024821578226</v>
      </c>
      <c r="E215" s="54">
        <v>1976.41</v>
      </c>
    </row>
    <row r="216" spans="1:5">
      <c r="A216" s="52">
        <v>30194</v>
      </c>
      <c r="B216" s="72">
        <v>2094.9899999999998</v>
      </c>
      <c r="C216" s="72">
        <v>2094.9899999999998</v>
      </c>
      <c r="D216" s="64">
        <f t="shared" si="3"/>
        <v>1.0599976725477001</v>
      </c>
      <c r="E216" s="54">
        <v>2094.9899999999998</v>
      </c>
    </row>
    <row r="217" spans="1:5">
      <c r="A217" s="52">
        <v>30224</v>
      </c>
      <c r="B217" s="72">
        <v>2241.64</v>
      </c>
      <c r="C217" s="72">
        <v>2241.64</v>
      </c>
      <c r="D217" s="64">
        <f t="shared" si="3"/>
        <v>1.0700003341304731</v>
      </c>
      <c r="E217" s="54">
        <v>2241.64</v>
      </c>
    </row>
    <row r="218" spans="1:5">
      <c r="A218" s="52">
        <v>30255</v>
      </c>
      <c r="B218" s="72">
        <v>2398.5500000000002</v>
      </c>
      <c r="C218" s="72">
        <v>2398.5500000000002</v>
      </c>
      <c r="D218" s="64">
        <f t="shared" si="3"/>
        <v>1.0699978587105869</v>
      </c>
      <c r="E218" s="54">
        <v>2398.5500000000002</v>
      </c>
    </row>
    <row r="219" spans="1:5">
      <c r="A219" s="52">
        <v>30285</v>
      </c>
      <c r="B219" s="72">
        <v>2566.4499999999998</v>
      </c>
      <c r="C219" s="72">
        <v>2566.4499999999998</v>
      </c>
      <c r="D219" s="64">
        <f t="shared" si="3"/>
        <v>1.0700006253778322</v>
      </c>
      <c r="E219" s="54">
        <v>2566.4499999999998</v>
      </c>
    </row>
    <row r="220" spans="1:5">
      <c r="A220" s="52">
        <v>30316</v>
      </c>
      <c r="B220" s="72">
        <v>2733.27</v>
      </c>
      <c r="C220" s="72">
        <v>2733.27</v>
      </c>
      <c r="D220" s="64">
        <f t="shared" si="3"/>
        <v>1.0650002922324613</v>
      </c>
      <c r="E220" s="54">
        <v>2733.27</v>
      </c>
    </row>
    <row r="221" spans="1:5">
      <c r="A221" s="52">
        <v>30347</v>
      </c>
      <c r="B221" s="72">
        <v>2910.93</v>
      </c>
      <c r="C221" s="72">
        <v>2910.93</v>
      </c>
      <c r="D221" s="64">
        <f t="shared" si="3"/>
        <v>1.0649990670515537</v>
      </c>
      <c r="E221" s="54">
        <v>2910.93</v>
      </c>
    </row>
    <row r="222" spans="1:5">
      <c r="A222" s="52">
        <v>30375</v>
      </c>
      <c r="B222" s="72">
        <v>3085.59</v>
      </c>
      <c r="C222" s="72">
        <v>3085.59</v>
      </c>
      <c r="D222" s="64">
        <f t="shared" si="3"/>
        <v>1.0600014428378561</v>
      </c>
      <c r="E222" s="54">
        <v>3085.59</v>
      </c>
    </row>
    <row r="223" spans="1:5">
      <c r="A223" s="52">
        <v>30406</v>
      </c>
      <c r="B223" s="72">
        <v>3292.32</v>
      </c>
      <c r="C223" s="72">
        <v>3292.32</v>
      </c>
      <c r="D223" s="64">
        <f t="shared" si="3"/>
        <v>1.0669985318853121</v>
      </c>
      <c r="E223" s="54">
        <v>3292.32</v>
      </c>
    </row>
    <row r="224" spans="1:5">
      <c r="A224" s="52">
        <v>30436</v>
      </c>
      <c r="B224" s="72">
        <v>3588.63</v>
      </c>
      <c r="C224" s="72">
        <v>3588.63</v>
      </c>
      <c r="D224" s="64">
        <f t="shared" si="3"/>
        <v>1.0900003644846188</v>
      </c>
      <c r="E224" s="54">
        <v>3588.63</v>
      </c>
    </row>
    <row r="225" spans="1:5">
      <c r="A225" s="52">
        <v>30467</v>
      </c>
      <c r="B225" s="72">
        <v>3911.61</v>
      </c>
      <c r="C225" s="72">
        <v>3911.61</v>
      </c>
      <c r="D225" s="64">
        <f t="shared" si="3"/>
        <v>1.0900009195709783</v>
      </c>
      <c r="E225" s="54">
        <v>3911.61</v>
      </c>
    </row>
    <row r="226" spans="1:5">
      <c r="A226" s="52">
        <v>30497</v>
      </c>
      <c r="B226" s="72">
        <v>4224.54</v>
      </c>
      <c r="C226" s="72">
        <v>4224.54</v>
      </c>
      <c r="D226" s="64">
        <f t="shared" si="3"/>
        <v>1.08000030677905</v>
      </c>
      <c r="E226" s="54">
        <v>4224.54</v>
      </c>
    </row>
    <row r="227" spans="1:5">
      <c r="A227" s="52">
        <v>30528</v>
      </c>
      <c r="B227" s="72">
        <v>4554.05</v>
      </c>
      <c r="C227" s="72">
        <v>4554.05</v>
      </c>
      <c r="D227" s="64">
        <f t="shared" si="3"/>
        <v>1.0779990247458895</v>
      </c>
      <c r="E227" s="54">
        <v>4554.05</v>
      </c>
    </row>
    <row r="228" spans="1:5">
      <c r="A228" s="52">
        <v>30559</v>
      </c>
      <c r="B228" s="72">
        <v>4963.91</v>
      </c>
      <c r="C228" s="72">
        <v>4963.91</v>
      </c>
      <c r="D228" s="64">
        <f t="shared" si="3"/>
        <v>1.0899990118685565</v>
      </c>
      <c r="E228" s="54">
        <v>4963.91</v>
      </c>
    </row>
    <row r="229" spans="1:5">
      <c r="A229" s="52">
        <v>30589</v>
      </c>
      <c r="B229" s="72">
        <v>5385.84</v>
      </c>
      <c r="C229" s="72">
        <v>5385.84</v>
      </c>
      <c r="D229" s="64">
        <f t="shared" si="3"/>
        <v>1.0849995265828754</v>
      </c>
      <c r="E229" s="54">
        <v>5385.84</v>
      </c>
    </row>
    <row r="230" spans="1:5">
      <c r="A230" s="52">
        <v>30620</v>
      </c>
      <c r="B230" s="72">
        <v>5897.49</v>
      </c>
      <c r="C230" s="72">
        <v>5897.49</v>
      </c>
      <c r="D230" s="64">
        <f t="shared" si="3"/>
        <v>1.0949991087741187</v>
      </c>
      <c r="E230" s="54">
        <v>5897.49</v>
      </c>
    </row>
    <row r="231" spans="1:5">
      <c r="A231" s="52">
        <v>30650</v>
      </c>
      <c r="B231" s="72">
        <v>6469.55</v>
      </c>
      <c r="C231" s="72">
        <v>6469.55</v>
      </c>
      <c r="D231" s="64">
        <f t="shared" si="3"/>
        <v>1.0970005883859066</v>
      </c>
      <c r="E231" s="54">
        <v>6469.55</v>
      </c>
    </row>
    <row r="232" spans="1:5">
      <c r="A232" s="52">
        <v>30681</v>
      </c>
      <c r="B232" s="72">
        <v>7012.99</v>
      </c>
      <c r="C232" s="72">
        <v>7012.99</v>
      </c>
      <c r="D232" s="64">
        <f t="shared" si="3"/>
        <v>1.0839996599454367</v>
      </c>
      <c r="E232" s="54">
        <v>7012.99</v>
      </c>
    </row>
    <row r="233" spans="1:5">
      <c r="A233" s="52">
        <v>30712</v>
      </c>
      <c r="B233" s="72">
        <v>7545.98</v>
      </c>
      <c r="C233" s="72">
        <v>7545.98</v>
      </c>
      <c r="D233" s="64">
        <f t="shared" si="3"/>
        <v>1.0760003935553879</v>
      </c>
      <c r="E233" s="54">
        <v>7545.98</v>
      </c>
    </row>
    <row r="234" spans="1:5">
      <c r="A234" s="52">
        <v>30741</v>
      </c>
      <c r="B234" s="72">
        <v>8285.49</v>
      </c>
      <c r="C234" s="72">
        <v>8285.49</v>
      </c>
      <c r="D234" s="64">
        <f t="shared" si="3"/>
        <v>1.098000524782732</v>
      </c>
      <c r="E234" s="54">
        <v>8285.49</v>
      </c>
    </row>
    <row r="235" spans="1:5">
      <c r="A235" s="52">
        <v>30772</v>
      </c>
      <c r="B235" s="72">
        <v>9304.61</v>
      </c>
      <c r="C235" s="72">
        <v>9304.61</v>
      </c>
      <c r="D235" s="64">
        <f t="shared" si="3"/>
        <v>1.1230005708775221</v>
      </c>
      <c r="E235" s="54">
        <v>9304.61</v>
      </c>
    </row>
    <row r="236" spans="1:5">
      <c r="A236" s="52">
        <v>30802</v>
      </c>
      <c r="B236" s="72">
        <v>10235.07</v>
      </c>
      <c r="C236" s="72">
        <v>10235.07</v>
      </c>
      <c r="D236" s="64">
        <f t="shared" si="3"/>
        <v>1.0999998925263927</v>
      </c>
      <c r="E236" s="54">
        <v>10235.07</v>
      </c>
    </row>
    <row r="237" spans="1:5">
      <c r="A237" s="52">
        <v>30833</v>
      </c>
      <c r="B237" s="72">
        <v>11145.99</v>
      </c>
      <c r="C237" s="72">
        <v>11145.99</v>
      </c>
      <c r="D237" s="64">
        <f t="shared" si="3"/>
        <v>1.0889998798249547</v>
      </c>
      <c r="E237" s="54">
        <v>11145.99</v>
      </c>
    </row>
    <row r="238" spans="1:5">
      <c r="A238" s="52">
        <v>30863</v>
      </c>
      <c r="B238" s="72">
        <v>12137.98</v>
      </c>
      <c r="C238" s="72">
        <v>12137.98</v>
      </c>
      <c r="D238" s="64">
        <f t="shared" si="3"/>
        <v>1.0889997209758846</v>
      </c>
      <c r="E238" s="54">
        <v>12137.98</v>
      </c>
    </row>
    <row r="239" spans="1:5">
      <c r="A239" s="52">
        <v>30894</v>
      </c>
      <c r="B239" s="72">
        <v>13254.67</v>
      </c>
      <c r="C239" s="72">
        <v>13254.67</v>
      </c>
      <c r="D239" s="64">
        <f t="shared" si="3"/>
        <v>1.09199965727411</v>
      </c>
      <c r="E239" s="54">
        <v>13254.67</v>
      </c>
    </row>
    <row r="240" spans="1:5">
      <c r="A240" s="52">
        <v>30925</v>
      </c>
      <c r="B240" s="72">
        <v>14619.9</v>
      </c>
      <c r="C240" s="72">
        <v>14619.9</v>
      </c>
      <c r="D240" s="64">
        <f t="shared" si="3"/>
        <v>1.1029999238004415</v>
      </c>
      <c r="E240" s="54">
        <v>14619.9</v>
      </c>
    </row>
    <row r="241" spans="1:5">
      <c r="A241" s="52">
        <v>30955</v>
      </c>
      <c r="B241" s="72">
        <v>16169.61</v>
      </c>
      <c r="C241" s="72">
        <v>16169.61</v>
      </c>
      <c r="D241" s="64">
        <f t="shared" si="3"/>
        <v>1.1060000410399524</v>
      </c>
      <c r="E241" s="54">
        <v>16169.61</v>
      </c>
    </row>
    <row r="242" spans="1:5">
      <c r="A242" s="52">
        <v>30986</v>
      </c>
      <c r="B242" s="72">
        <v>17867.419999999998</v>
      </c>
      <c r="C242" s="72">
        <v>17867.419999999998</v>
      </c>
      <c r="D242" s="64">
        <f t="shared" si="3"/>
        <v>1.10500005875219</v>
      </c>
      <c r="E242" s="54">
        <v>17867.419999999998</v>
      </c>
    </row>
    <row r="243" spans="1:5">
      <c r="A243" s="52">
        <v>31016</v>
      </c>
      <c r="B243" s="72">
        <v>20118.71</v>
      </c>
      <c r="C243" s="72">
        <v>20118.71</v>
      </c>
      <c r="D243" s="64">
        <f t="shared" si="3"/>
        <v>1.1259997246384761</v>
      </c>
      <c r="E243" s="54">
        <v>20118.71</v>
      </c>
    </row>
    <row r="244" spans="1:5">
      <c r="A244" s="52">
        <v>31047</v>
      </c>
      <c r="B244" s="72">
        <v>22110.46</v>
      </c>
      <c r="C244" s="72">
        <v>22110.46</v>
      </c>
      <c r="D244" s="64">
        <f t="shared" si="3"/>
        <v>1.0989998861756047</v>
      </c>
      <c r="E244" s="54">
        <v>22110.46</v>
      </c>
    </row>
    <row r="245" spans="1:5">
      <c r="A245" s="52">
        <v>31078</v>
      </c>
      <c r="B245" s="72">
        <v>24432.06</v>
      </c>
      <c r="C245" s="72">
        <v>24432.06</v>
      </c>
      <c r="D245" s="64">
        <f t="shared" si="3"/>
        <v>1.1050000768866863</v>
      </c>
      <c r="E245" s="54">
        <v>24432.06</v>
      </c>
    </row>
    <row r="246" spans="1:5">
      <c r="A246" s="52">
        <v>31106</v>
      </c>
      <c r="B246" s="72">
        <v>27510.5</v>
      </c>
      <c r="C246" s="72">
        <v>27510.5</v>
      </c>
      <c r="D246" s="64">
        <f t="shared" si="3"/>
        <v>1.1260000180091241</v>
      </c>
      <c r="E246" s="54">
        <v>27510.5</v>
      </c>
    </row>
    <row r="247" spans="1:5">
      <c r="A247" s="52">
        <v>31137</v>
      </c>
      <c r="B247" s="72">
        <v>30316.57</v>
      </c>
      <c r="C247" s="72">
        <v>30316.57</v>
      </c>
      <c r="D247" s="64">
        <f t="shared" si="3"/>
        <v>1.1019999636502427</v>
      </c>
      <c r="E247" s="54">
        <v>30316.57</v>
      </c>
    </row>
    <row r="248" spans="1:5">
      <c r="A248" s="52">
        <v>31167</v>
      </c>
      <c r="B248" s="72">
        <v>34166.769999999997</v>
      </c>
      <c r="C248" s="72">
        <v>34166.769999999997</v>
      </c>
      <c r="D248" s="64">
        <f t="shared" si="3"/>
        <v>1.1269998551947003</v>
      </c>
      <c r="E248" s="54">
        <v>34166.769999999997</v>
      </c>
    </row>
    <row r="249" spans="1:5">
      <c r="A249" s="52">
        <v>31198</v>
      </c>
      <c r="B249" s="72">
        <v>38208.46</v>
      </c>
      <c r="C249" s="72">
        <v>38208.46</v>
      </c>
      <c r="D249" s="64">
        <f t="shared" si="3"/>
        <v>1.1182930080894391</v>
      </c>
      <c r="E249" s="54">
        <v>38208.46</v>
      </c>
    </row>
    <row r="250" spans="1:5">
      <c r="A250" s="52">
        <v>31228</v>
      </c>
      <c r="B250" s="72">
        <v>42031.56</v>
      </c>
      <c r="C250" s="72">
        <v>42031.56</v>
      </c>
      <c r="D250" s="64">
        <f t="shared" si="3"/>
        <v>1.1000589921708439</v>
      </c>
      <c r="E250" s="54">
        <v>42031.56</v>
      </c>
    </row>
    <row r="251" spans="1:5">
      <c r="A251" s="52">
        <v>31259</v>
      </c>
      <c r="B251" s="72">
        <v>45901.91</v>
      </c>
      <c r="C251" s="72">
        <v>45901.91</v>
      </c>
      <c r="D251" s="64">
        <f t="shared" si="3"/>
        <v>1.0920819974324056</v>
      </c>
      <c r="E251" s="54">
        <v>45901.91</v>
      </c>
    </row>
    <row r="252" spans="1:5">
      <c r="A252" s="52">
        <v>31290</v>
      </c>
      <c r="B252" s="72">
        <v>49396.88</v>
      </c>
      <c r="C252" s="72">
        <v>49396.88</v>
      </c>
      <c r="D252" s="64">
        <f t="shared" si="3"/>
        <v>1.0761399689032547</v>
      </c>
      <c r="E252" s="54">
        <v>49396.88</v>
      </c>
    </row>
    <row r="253" spans="1:5">
      <c r="A253" s="52">
        <v>31320</v>
      </c>
      <c r="B253" s="72">
        <v>53437.4</v>
      </c>
      <c r="C253" s="72">
        <v>53437.4</v>
      </c>
      <c r="D253" s="64">
        <f t="shared" si="3"/>
        <v>1.0817970689646796</v>
      </c>
      <c r="E253" s="54">
        <v>53437.4</v>
      </c>
    </row>
    <row r="254" spans="1:5">
      <c r="A254" s="52">
        <v>31351</v>
      </c>
      <c r="B254" s="72">
        <v>58300.2</v>
      </c>
      <c r="C254" s="72">
        <v>58300.2</v>
      </c>
      <c r="D254" s="64">
        <f t="shared" si="3"/>
        <v>1.0909999363741498</v>
      </c>
      <c r="E254" s="54">
        <v>58300.2</v>
      </c>
    </row>
    <row r="255" spans="1:5">
      <c r="A255" s="52">
        <v>31381</v>
      </c>
      <c r="B255" s="72">
        <v>63547.22</v>
      </c>
      <c r="C255" s="72">
        <v>63547.22</v>
      </c>
      <c r="D255" s="64">
        <f t="shared" si="3"/>
        <v>1.0900000343051996</v>
      </c>
      <c r="E255" s="54">
        <v>63547.22</v>
      </c>
    </row>
    <row r="256" spans="1:5">
      <c r="A256" s="52">
        <v>31412</v>
      </c>
      <c r="B256" s="72">
        <v>70613.67</v>
      </c>
      <c r="C256" s="72">
        <v>70613.67</v>
      </c>
      <c r="D256" s="64">
        <f t="shared" si="3"/>
        <v>1.1111999864038111</v>
      </c>
      <c r="E256" s="54">
        <v>70613.67</v>
      </c>
    </row>
    <row r="257" spans="1:5">
      <c r="A257" s="52">
        <v>31443</v>
      </c>
      <c r="B257" s="72">
        <v>80047.66</v>
      </c>
      <c r="C257" s="72">
        <v>80047.66</v>
      </c>
      <c r="D257" s="64">
        <f t="shared" si="3"/>
        <v>1.1336000522278478</v>
      </c>
      <c r="E257" s="54">
        <v>80047.66</v>
      </c>
    </row>
    <row r="258" spans="1:5">
      <c r="A258" s="52">
        <v>31471</v>
      </c>
      <c r="B258" s="72">
        <v>93039.4</v>
      </c>
      <c r="C258" s="72">
        <v>93039.4</v>
      </c>
      <c r="D258" s="64">
        <f t="shared" ref="D258:D292" si="4">B258/B257</f>
        <v>1.1623000597394102</v>
      </c>
      <c r="E258" s="54">
        <v>93039.4</v>
      </c>
    </row>
    <row r="259" spans="1:5">
      <c r="A259" s="52">
        <v>31502</v>
      </c>
      <c r="B259" s="72">
        <v>106.4</v>
      </c>
      <c r="C259" s="72">
        <v>106.4</v>
      </c>
      <c r="D259" s="64">
        <f t="shared" si="4"/>
        <v>1.1436015279548235E-3</v>
      </c>
      <c r="E259" s="54">
        <v>106.4</v>
      </c>
    </row>
    <row r="260" spans="1:5">
      <c r="A260" s="52">
        <v>31532</v>
      </c>
      <c r="B260" s="72">
        <v>106.28</v>
      </c>
      <c r="C260" s="72">
        <v>106.28</v>
      </c>
      <c r="D260" s="64">
        <f t="shared" si="4"/>
        <v>0.9988721804511278</v>
      </c>
      <c r="E260" s="54">
        <v>106.28</v>
      </c>
    </row>
    <row r="261" spans="1:5">
      <c r="A261" s="52">
        <v>31563</v>
      </c>
      <c r="B261" s="72">
        <v>107.12</v>
      </c>
      <c r="C261" s="72">
        <v>107.12</v>
      </c>
      <c r="D261" s="64">
        <f t="shared" si="4"/>
        <v>1.0079036507339105</v>
      </c>
      <c r="E261" s="54">
        <v>107.12</v>
      </c>
    </row>
    <row r="262" spans="1:5">
      <c r="A262" s="52">
        <v>31593</v>
      </c>
      <c r="B262" s="72">
        <v>108.61</v>
      </c>
      <c r="C262" s="72">
        <v>108.61</v>
      </c>
      <c r="D262" s="64">
        <f t="shared" si="4"/>
        <v>1.0139096340552651</v>
      </c>
      <c r="E262" s="54">
        <v>108.61</v>
      </c>
    </row>
    <row r="263" spans="1:5">
      <c r="A263" s="52">
        <v>31624</v>
      </c>
      <c r="B263" s="72">
        <v>109.99</v>
      </c>
      <c r="C263" s="72">
        <v>109.99</v>
      </c>
      <c r="D263" s="64">
        <f t="shared" si="4"/>
        <v>1.0127060123377221</v>
      </c>
      <c r="E263" s="54">
        <v>109.99</v>
      </c>
    </row>
    <row r="264" spans="1:5">
      <c r="A264" s="52">
        <v>31655</v>
      </c>
      <c r="B264" s="72">
        <v>111.31</v>
      </c>
      <c r="C264" s="72">
        <v>111.31</v>
      </c>
      <c r="D264" s="64">
        <f t="shared" si="4"/>
        <v>1.0120010910082735</v>
      </c>
      <c r="E264" s="54">
        <v>111.31</v>
      </c>
    </row>
    <row r="265" spans="1:5">
      <c r="A265" s="52">
        <v>31685</v>
      </c>
      <c r="B265" s="72">
        <v>113.18</v>
      </c>
      <c r="C265" s="72">
        <v>113.18</v>
      </c>
      <c r="D265" s="64">
        <f t="shared" si="4"/>
        <v>1.0167999281286497</v>
      </c>
      <c r="E265" s="54">
        <v>113.18</v>
      </c>
    </row>
    <row r="266" spans="1:5">
      <c r="A266" s="52">
        <v>31716</v>
      </c>
      <c r="B266" s="72">
        <v>115.13</v>
      </c>
      <c r="C266" s="72">
        <v>115.13</v>
      </c>
      <c r="D266" s="64">
        <f t="shared" si="4"/>
        <v>1.0172291924368262</v>
      </c>
      <c r="E266" s="54">
        <v>115.13</v>
      </c>
    </row>
    <row r="267" spans="1:5">
      <c r="A267" s="52">
        <v>31746</v>
      </c>
      <c r="B267" s="72">
        <v>117.32</v>
      </c>
      <c r="C267" s="72">
        <v>117.32</v>
      </c>
      <c r="D267" s="64">
        <f t="shared" si="4"/>
        <v>1.0190219751585163</v>
      </c>
      <c r="E267" s="54">
        <v>117.32</v>
      </c>
    </row>
    <row r="268" spans="1:5">
      <c r="A268" s="52">
        <v>31777</v>
      </c>
      <c r="B268" s="72">
        <v>121.17</v>
      </c>
      <c r="C268" s="72">
        <v>121.17</v>
      </c>
      <c r="D268" s="64">
        <f t="shared" si="4"/>
        <v>1.0328162291169452</v>
      </c>
      <c r="E268" s="54">
        <v>121.17</v>
      </c>
    </row>
    <row r="269" spans="1:5">
      <c r="A269" s="52">
        <v>31808</v>
      </c>
      <c r="B269" s="72">
        <v>129.97999999999999</v>
      </c>
      <c r="C269" s="72">
        <v>129.97999999999999</v>
      </c>
      <c r="D269" s="64">
        <f t="shared" si="4"/>
        <v>1.072707765948667</v>
      </c>
      <c r="E269" s="54">
        <v>129.97999999999999</v>
      </c>
    </row>
    <row r="270" spans="1:5">
      <c r="A270" s="52">
        <v>31836</v>
      </c>
      <c r="B270" s="72">
        <v>151.85</v>
      </c>
      <c r="C270" s="72">
        <v>151.85</v>
      </c>
      <c r="D270" s="64">
        <f t="shared" si="4"/>
        <v>1.16825665486998</v>
      </c>
      <c r="E270" s="54">
        <v>151.85</v>
      </c>
    </row>
    <row r="271" spans="1:5">
      <c r="A271" s="52">
        <v>31867</v>
      </c>
      <c r="B271" s="72">
        <v>181.61</v>
      </c>
      <c r="C271" s="72">
        <v>181.61</v>
      </c>
      <c r="D271" s="64">
        <f t="shared" si="4"/>
        <v>1.1959828778399737</v>
      </c>
      <c r="E271" s="54">
        <v>181.61</v>
      </c>
    </row>
    <row r="272" spans="1:5">
      <c r="A272" s="52">
        <v>31897</v>
      </c>
      <c r="B272" s="72">
        <v>207.97</v>
      </c>
      <c r="C272" s="72">
        <v>207.97</v>
      </c>
      <c r="D272" s="64">
        <f t="shared" si="4"/>
        <v>1.1451461923902868</v>
      </c>
      <c r="E272" s="54">
        <v>207.97</v>
      </c>
    </row>
    <row r="273" spans="1:5">
      <c r="A273" s="52">
        <v>31928</v>
      </c>
      <c r="B273" s="72">
        <v>251.56</v>
      </c>
      <c r="C273" s="72">
        <v>251.56</v>
      </c>
      <c r="D273" s="64">
        <f t="shared" si="4"/>
        <v>1.2095975381064576</v>
      </c>
      <c r="E273" s="54">
        <v>251.56</v>
      </c>
    </row>
    <row r="274" spans="1:5">
      <c r="A274" s="52">
        <v>31958</v>
      </c>
      <c r="B274" s="72">
        <v>310.52999999999997</v>
      </c>
      <c r="C274" s="72">
        <v>310.52999999999997</v>
      </c>
      <c r="D274" s="64">
        <f t="shared" si="4"/>
        <v>1.2344172364445856</v>
      </c>
      <c r="E274" s="54">
        <v>310.52999999999997</v>
      </c>
    </row>
    <row r="275" spans="1:5">
      <c r="A275" s="52">
        <v>31989</v>
      </c>
      <c r="B275" s="72">
        <v>366.49</v>
      </c>
      <c r="C275" s="72">
        <v>366.49</v>
      </c>
      <c r="D275" s="64">
        <f t="shared" si="4"/>
        <v>1.1802080314301358</v>
      </c>
      <c r="E275" s="54">
        <v>366.49</v>
      </c>
    </row>
    <row r="276" spans="1:5">
      <c r="A276" s="52">
        <v>32020</v>
      </c>
      <c r="B276" s="72">
        <v>377.67</v>
      </c>
      <c r="C276" s="72">
        <v>377.67</v>
      </c>
      <c r="D276" s="64">
        <f t="shared" si="4"/>
        <v>1.0305056072471281</v>
      </c>
      <c r="E276" s="54">
        <v>377.67</v>
      </c>
    </row>
    <row r="277" spans="1:5">
      <c r="A277" s="52">
        <v>32050</v>
      </c>
      <c r="B277" s="72">
        <v>401.69</v>
      </c>
      <c r="C277" s="72">
        <v>401.69</v>
      </c>
      <c r="D277" s="64">
        <f t="shared" si="4"/>
        <v>1.0636004977890752</v>
      </c>
      <c r="E277" s="54">
        <v>401.69</v>
      </c>
    </row>
    <row r="278" spans="1:5">
      <c r="A278" s="52">
        <v>32081</v>
      </c>
      <c r="B278" s="72">
        <v>424.51</v>
      </c>
      <c r="C278" s="72">
        <v>424.51</v>
      </c>
      <c r="D278" s="64">
        <f t="shared" si="4"/>
        <v>1.0568099778436106</v>
      </c>
      <c r="E278" s="54">
        <v>424.51</v>
      </c>
    </row>
    <row r="279" spans="1:5">
      <c r="A279" s="52">
        <v>32111</v>
      </c>
      <c r="B279" s="72">
        <v>463.48</v>
      </c>
      <c r="C279" s="72">
        <v>463.48</v>
      </c>
      <c r="D279" s="64">
        <f t="shared" si="4"/>
        <v>1.0917999575981721</v>
      </c>
      <c r="E279" s="54">
        <v>463.48</v>
      </c>
    </row>
    <row r="280" spans="1:5">
      <c r="A280" s="52">
        <v>32142</v>
      </c>
      <c r="B280" s="72">
        <v>522.99</v>
      </c>
      <c r="C280" s="72">
        <v>522.99</v>
      </c>
      <c r="D280" s="64">
        <f t="shared" si="4"/>
        <v>1.1283982048847847</v>
      </c>
      <c r="E280" s="54">
        <v>522.99</v>
      </c>
    </row>
    <row r="281" spans="1:5">
      <c r="A281" s="52">
        <v>32173</v>
      </c>
      <c r="B281" s="72">
        <v>596.94000000000005</v>
      </c>
      <c r="C281" s="72">
        <v>596.94000000000005</v>
      </c>
      <c r="D281" s="64">
        <f t="shared" si="4"/>
        <v>1.1413984971031952</v>
      </c>
      <c r="E281" s="54">
        <v>596.94000000000005</v>
      </c>
    </row>
    <row r="282" spans="1:5">
      <c r="A282" s="52">
        <v>32202</v>
      </c>
      <c r="B282" s="72">
        <v>695.5</v>
      </c>
      <c r="C282" s="72">
        <v>695.5</v>
      </c>
      <c r="D282" s="64">
        <f t="shared" si="4"/>
        <v>1.1651087211445035</v>
      </c>
      <c r="E282" s="54">
        <v>695.5</v>
      </c>
    </row>
    <row r="283" spans="1:5">
      <c r="A283" s="52">
        <v>32233</v>
      </c>
      <c r="B283" s="72">
        <v>820.42</v>
      </c>
      <c r="C283" s="72">
        <v>820.42</v>
      </c>
      <c r="D283" s="64">
        <f t="shared" si="4"/>
        <v>1.1796117900790797</v>
      </c>
      <c r="E283" s="54">
        <v>820.42</v>
      </c>
    </row>
    <row r="284" spans="1:5">
      <c r="A284" s="52">
        <v>32263</v>
      </c>
      <c r="B284" s="72">
        <v>951.77</v>
      </c>
      <c r="C284" s="72">
        <v>951.77</v>
      </c>
      <c r="D284" s="64">
        <f t="shared" si="4"/>
        <v>1.1601009239170181</v>
      </c>
      <c r="E284" s="54">
        <v>951.77</v>
      </c>
    </row>
    <row r="285" spans="1:5">
      <c r="A285" s="52">
        <v>32294</v>
      </c>
      <c r="B285" s="72">
        <v>1135.27</v>
      </c>
      <c r="C285" s="72">
        <v>1135.27</v>
      </c>
      <c r="D285" s="64">
        <f t="shared" si="4"/>
        <v>1.1927986803534467</v>
      </c>
      <c r="E285" s="54">
        <v>1135.27</v>
      </c>
    </row>
    <row r="286" spans="1:5">
      <c r="A286" s="52">
        <v>32324</v>
      </c>
      <c r="B286" s="72">
        <v>1337.12</v>
      </c>
      <c r="C286" s="72">
        <v>1337.12</v>
      </c>
      <c r="D286" s="64">
        <f t="shared" si="4"/>
        <v>1.1777991138671857</v>
      </c>
      <c r="E286" s="54">
        <v>1337.12</v>
      </c>
    </row>
    <row r="287" spans="1:5">
      <c r="A287" s="52">
        <v>32355</v>
      </c>
      <c r="B287" s="72">
        <v>1598.26</v>
      </c>
      <c r="C287" s="72">
        <v>1598.26</v>
      </c>
      <c r="D287" s="64">
        <f t="shared" si="4"/>
        <v>1.195300347014479</v>
      </c>
      <c r="E287" s="54">
        <v>1598.26</v>
      </c>
    </row>
    <row r="288" spans="1:5">
      <c r="A288" s="52">
        <v>32386</v>
      </c>
      <c r="B288" s="72">
        <v>1982.48</v>
      </c>
      <c r="C288" s="72">
        <v>1982.48</v>
      </c>
      <c r="D288" s="64">
        <f t="shared" si="4"/>
        <v>1.2403989338405517</v>
      </c>
      <c r="E288" s="54">
        <v>1982.48</v>
      </c>
    </row>
    <row r="289" spans="1:5">
      <c r="A289" s="52">
        <v>32416</v>
      </c>
      <c r="B289" s="72">
        <v>2392.06</v>
      </c>
      <c r="C289" s="72">
        <v>2392.06</v>
      </c>
      <c r="D289" s="64">
        <f t="shared" si="4"/>
        <v>1.2065998143739154</v>
      </c>
      <c r="E289" s="54">
        <v>2392.06</v>
      </c>
    </row>
    <row r="290" spans="1:5">
      <c r="A290" s="52">
        <v>32447</v>
      </c>
      <c r="B290" s="72">
        <v>2966.39</v>
      </c>
      <c r="C290" s="72">
        <v>2966.39</v>
      </c>
      <c r="D290" s="64">
        <f t="shared" si="4"/>
        <v>1.2400984925127296</v>
      </c>
      <c r="E290" s="54">
        <v>2966.39</v>
      </c>
    </row>
    <row r="291" spans="1:5">
      <c r="A291" s="52">
        <v>32477</v>
      </c>
      <c r="B291" s="72">
        <v>3774.73</v>
      </c>
      <c r="C291" s="72">
        <v>3774.73</v>
      </c>
      <c r="D291" s="64">
        <f t="shared" si="4"/>
        <v>1.2724995701846353</v>
      </c>
      <c r="E291" s="54">
        <v>3774.73</v>
      </c>
    </row>
    <row r="292" spans="1:5">
      <c r="A292" s="52">
        <v>32508</v>
      </c>
      <c r="B292" s="72">
        <v>4790.8900000000003</v>
      </c>
      <c r="C292" s="72">
        <v>4790.8900000000003</v>
      </c>
      <c r="D292" s="64">
        <f t="shared" si="4"/>
        <v>1.2692007110442336</v>
      </c>
      <c r="E292" s="54">
        <v>4790.8900000000003</v>
      </c>
    </row>
    <row r="293" spans="1:5">
      <c r="A293" s="52">
        <v>32539</v>
      </c>
      <c r="B293" s="73">
        <v>6.17</v>
      </c>
      <c r="C293" s="72">
        <v>8.8058239999999994</v>
      </c>
      <c r="D293" s="64">
        <f>6170/4790.89</f>
        <v>1.2878609193698873</v>
      </c>
      <c r="E293" s="55">
        <v>10.506276</v>
      </c>
    </row>
    <row r="294" spans="1:5">
      <c r="A294" s="52">
        <v>32567</v>
      </c>
      <c r="B294" s="72">
        <v>8.8058239999999994</v>
      </c>
      <c r="C294" s="72">
        <v>10.883998</v>
      </c>
      <c r="D294" s="64">
        <f t="shared" ref="D294:D325" si="5">B294/B293</f>
        <v>1.4272</v>
      </c>
      <c r="E294" s="55">
        <v>10.884501</v>
      </c>
    </row>
    <row r="295" spans="1:5">
      <c r="A295" s="52">
        <v>32598</v>
      </c>
      <c r="B295" s="72">
        <v>9.698734</v>
      </c>
      <c r="C295" s="72">
        <v>11.546832999999999</v>
      </c>
      <c r="D295" s="64">
        <f t="shared" si="5"/>
        <v>1.101399937132516</v>
      </c>
      <c r="E295" s="55">
        <v>11.547366999999999</v>
      </c>
    </row>
    <row r="296" spans="1:5">
      <c r="A296" s="52">
        <v>32628</v>
      </c>
      <c r="B296" s="72">
        <v>10.289386</v>
      </c>
      <c r="C296" s="72">
        <v>12.390905999999999</v>
      </c>
      <c r="D296" s="64">
        <f t="shared" si="5"/>
        <v>1.0608999071425198</v>
      </c>
      <c r="E296" s="55">
        <v>12.391479</v>
      </c>
    </row>
    <row r="297" spans="1:5">
      <c r="A297" s="52">
        <v>32659</v>
      </c>
      <c r="B297" s="72">
        <v>11.041539999999999</v>
      </c>
      <c r="C297" s="72">
        <v>13.622562</v>
      </c>
      <c r="D297" s="64">
        <f t="shared" si="5"/>
        <v>1.073099988667934</v>
      </c>
      <c r="E297" s="55">
        <v>13.623192</v>
      </c>
    </row>
    <row r="298" spans="1:5">
      <c r="A298" s="52">
        <v>32689</v>
      </c>
      <c r="B298" s="72">
        <v>12.139068999999999</v>
      </c>
      <c r="C298" s="72">
        <v>17.005044000000002</v>
      </c>
      <c r="D298" s="64">
        <f t="shared" si="5"/>
        <v>1.0993999931169021</v>
      </c>
      <c r="E298" s="55">
        <v>17.00583</v>
      </c>
    </row>
    <row r="299" spans="1:5">
      <c r="A299" s="52">
        <v>32720</v>
      </c>
      <c r="B299" s="72">
        <v>15.153199000000001</v>
      </c>
      <c r="C299" s="72">
        <v>21.895693999999999</v>
      </c>
      <c r="D299" s="64">
        <f t="shared" si="5"/>
        <v>1.2482999314033063</v>
      </c>
      <c r="E299" s="55">
        <v>21.896705999999998</v>
      </c>
    </row>
    <row r="300" spans="1:5">
      <c r="A300" s="52">
        <v>32751</v>
      </c>
      <c r="B300" s="72">
        <v>19.511258999999999</v>
      </c>
      <c r="C300" s="72">
        <v>28.319890000000001</v>
      </c>
      <c r="D300" s="64">
        <f t="shared" si="5"/>
        <v>1.2875999978618375</v>
      </c>
      <c r="E300" s="55">
        <v>28.321199</v>
      </c>
    </row>
    <row r="301" spans="1:5">
      <c r="A301" s="52">
        <v>32781</v>
      </c>
      <c r="B301" s="72">
        <v>25.235862000000001</v>
      </c>
      <c r="C301" s="72">
        <v>38.500889999999998</v>
      </c>
      <c r="D301" s="64">
        <f t="shared" si="5"/>
        <v>1.2933999799807896</v>
      </c>
      <c r="E301" s="55">
        <v>38.502670000000002</v>
      </c>
    </row>
    <row r="302" spans="1:5">
      <c r="A302" s="52">
        <v>32812</v>
      </c>
      <c r="B302" s="72">
        <v>34.308154000000002</v>
      </c>
      <c r="C302" s="72">
        <v>52.987374000000003</v>
      </c>
      <c r="D302" s="64">
        <f t="shared" si="5"/>
        <v>1.3594999845854285</v>
      </c>
      <c r="E302" s="55">
        <v>52.987374000000003</v>
      </c>
    </row>
    <row r="303" spans="1:5">
      <c r="A303" s="52">
        <v>32842</v>
      </c>
      <c r="B303" s="72">
        <v>47.214880999999998</v>
      </c>
      <c r="C303" s="72">
        <v>74.934743999999995</v>
      </c>
      <c r="D303" s="64">
        <f t="shared" si="5"/>
        <v>1.3761999844118689</v>
      </c>
      <c r="E303" s="55">
        <v>74.934743999999995</v>
      </c>
    </row>
    <row r="304" spans="1:5">
      <c r="A304" s="52">
        <v>32873</v>
      </c>
      <c r="B304" s="72">
        <v>66.771283999999994</v>
      </c>
      <c r="C304" s="72">
        <v>115.062299</v>
      </c>
      <c r="D304" s="64">
        <f t="shared" si="5"/>
        <v>1.4141999849581322</v>
      </c>
      <c r="E304" s="55">
        <v>115.062299</v>
      </c>
    </row>
    <row r="305" spans="1:5">
      <c r="A305" s="52">
        <v>32904</v>
      </c>
      <c r="B305" s="72">
        <v>102.527306</v>
      </c>
      <c r="C305" s="72">
        <v>179.62375399999999</v>
      </c>
      <c r="D305" s="64">
        <f t="shared" si="5"/>
        <v>1.5354999912836782</v>
      </c>
      <c r="E305" s="55">
        <v>179.62375399999999</v>
      </c>
    </row>
    <row r="306" spans="1:5">
      <c r="A306" s="52">
        <v>32932</v>
      </c>
      <c r="B306" s="72">
        <v>160.05537699999999</v>
      </c>
      <c r="C306" s="72">
        <v>310.35392200000001</v>
      </c>
      <c r="D306" s="64">
        <f t="shared" si="5"/>
        <v>1.5610999961317622</v>
      </c>
      <c r="E306" s="55">
        <v>310.35392200000001</v>
      </c>
    </row>
    <row r="307" spans="1:5">
      <c r="A307" s="52">
        <v>32963</v>
      </c>
      <c r="B307" s="72">
        <v>276.54367999999999</v>
      </c>
      <c r="C307" s="72">
        <v>438.46802100000002</v>
      </c>
      <c r="D307" s="64">
        <f t="shared" si="5"/>
        <v>1.727799997622073</v>
      </c>
      <c r="E307" s="55">
        <v>572.04434900000001</v>
      </c>
    </row>
    <row r="308" spans="1:5">
      <c r="A308" s="52">
        <v>32993</v>
      </c>
      <c r="B308" s="72">
        <v>509.72530999999998</v>
      </c>
      <c r="C308" s="72">
        <v>438.46802100000002</v>
      </c>
      <c r="D308" s="64">
        <f t="shared" si="5"/>
        <v>1.8431999964707202</v>
      </c>
      <c r="E308" s="55">
        <v>828.32021699999996</v>
      </c>
    </row>
    <row r="309" spans="1:5">
      <c r="A309" s="52">
        <v>33024</v>
      </c>
      <c r="B309" s="72">
        <v>738.08224800000005</v>
      </c>
      <c r="C309" s="72">
        <v>462.05760099999998</v>
      </c>
      <c r="D309" s="64">
        <f t="shared" si="5"/>
        <v>1.4479999982735801</v>
      </c>
      <c r="E309" s="55">
        <v>893.50901799999997</v>
      </c>
    </row>
    <row r="310" spans="1:5">
      <c r="A310" s="52">
        <v>33054</v>
      </c>
      <c r="B310" s="72">
        <v>796.16931999999997</v>
      </c>
      <c r="C310" s="72">
        <v>506.46133600000002</v>
      </c>
      <c r="D310" s="64">
        <f t="shared" si="5"/>
        <v>1.078699998756778</v>
      </c>
      <c r="E310" s="55">
        <v>978.83912899999996</v>
      </c>
    </row>
    <row r="311" spans="1:5">
      <c r="A311" s="52">
        <v>33085</v>
      </c>
      <c r="B311" s="72">
        <v>872.20348999999999</v>
      </c>
      <c r="C311" s="72">
        <v>561.10851400000001</v>
      </c>
      <c r="D311" s="64">
        <f t="shared" si="5"/>
        <v>1.0954999999246391</v>
      </c>
      <c r="E311" s="55">
        <v>1105.3051439999999</v>
      </c>
    </row>
    <row r="312" spans="1:5">
      <c r="A312" s="52">
        <v>33116</v>
      </c>
      <c r="B312" s="72">
        <v>984.89218000000005</v>
      </c>
      <c r="C312" s="72">
        <v>620.473795</v>
      </c>
      <c r="D312" s="64">
        <f t="shared" si="5"/>
        <v>1.1291999989589585</v>
      </c>
      <c r="E312" s="55">
        <v>1238.2733519999999</v>
      </c>
    </row>
    <row r="313" spans="1:5">
      <c r="A313" s="52">
        <v>33146</v>
      </c>
      <c r="B313" s="72">
        <v>1103.3747089999999</v>
      </c>
      <c r="C313" s="72">
        <v>700.20467799999994</v>
      </c>
      <c r="D313" s="64">
        <f t="shared" si="5"/>
        <v>1.1202999997421037</v>
      </c>
      <c r="E313" s="55">
        <v>1396.2770310000001</v>
      </c>
    </row>
    <row r="314" spans="1:5">
      <c r="A314" s="52">
        <v>33177</v>
      </c>
      <c r="B314" s="72">
        <v>1244.1653209999999</v>
      </c>
      <c r="C314" s="72">
        <v>796.20273899999995</v>
      </c>
      <c r="D314" s="64">
        <f t="shared" si="5"/>
        <v>1.1275999992129599</v>
      </c>
      <c r="E314" s="55">
        <v>1594.5483690000001</v>
      </c>
    </row>
    <row r="315" spans="1:5">
      <c r="A315" s="52">
        <v>33207</v>
      </c>
      <c r="B315" s="72">
        <v>1420.836796</v>
      </c>
      <c r="C315" s="72">
        <v>928.69087500000001</v>
      </c>
      <c r="D315" s="64">
        <f t="shared" si="5"/>
        <v>1.1419999995322165</v>
      </c>
      <c r="E315" s="55">
        <v>1842.979004</v>
      </c>
    </row>
    <row r="316" spans="1:5">
      <c r="A316" s="52">
        <v>33238</v>
      </c>
      <c r="B316" s="72">
        <v>1642.203168</v>
      </c>
      <c r="C316" s="72">
        <f>C315*D316</f>
        <v>1073.3809127911213</v>
      </c>
      <c r="D316" s="64">
        <f t="shared" si="5"/>
        <v>1.1557999994251276</v>
      </c>
      <c r="E316" s="55">
        <v>2180.2441610000001</v>
      </c>
    </row>
    <row r="317" spans="1:5">
      <c r="A317" s="52">
        <v>33269</v>
      </c>
      <c r="B317" s="72">
        <v>1942.726347</v>
      </c>
      <c r="C317" s="72">
        <v>1332.8452480000001</v>
      </c>
      <c r="D317" s="64">
        <f t="shared" si="5"/>
        <v>1.18299999954695</v>
      </c>
      <c r="E317" s="55">
        <v>2614.3307730000001</v>
      </c>
    </row>
    <row r="318" spans="1:5">
      <c r="A318" s="52">
        <v>33297</v>
      </c>
      <c r="B318" s="72">
        <v>2329.523162</v>
      </c>
      <c r="C318" s="72">
        <v>1426.144415</v>
      </c>
      <c r="D318" s="64">
        <f t="shared" si="5"/>
        <v>1.199099999646013</v>
      </c>
      <c r="E318" s="55">
        <v>2797.3339270000001</v>
      </c>
    </row>
    <row r="319" spans="1:5">
      <c r="A319" s="52">
        <v>33328</v>
      </c>
      <c r="B319" s="72">
        <v>2838.989877</v>
      </c>
      <c r="C319" s="72">
        <v>1547.3666900000001</v>
      </c>
      <c r="D319" s="64">
        <f t="shared" si="5"/>
        <v>1.2186999997727432</v>
      </c>
      <c r="E319" s="55">
        <v>3035.1073099999999</v>
      </c>
    </row>
    <row r="320" spans="1:5">
      <c r="A320" s="52">
        <v>33358</v>
      </c>
      <c r="B320" s="72">
        <v>3173.7067830000001</v>
      </c>
      <c r="C320" s="72">
        <v>1685.5465349999999</v>
      </c>
      <c r="D320" s="64">
        <f t="shared" si="5"/>
        <v>1.1178999998244799</v>
      </c>
      <c r="E320" s="55">
        <v>3306.1423920000002</v>
      </c>
    </row>
    <row r="321" spans="1:5">
      <c r="A321" s="52">
        <v>33389</v>
      </c>
      <c r="B321" s="72">
        <v>3332.709492</v>
      </c>
      <c r="C321" s="72">
        <v>1837.077168</v>
      </c>
      <c r="D321" s="64">
        <f t="shared" si="5"/>
        <v>1.0500999997390117</v>
      </c>
      <c r="E321" s="55">
        <v>3603.3645929999998</v>
      </c>
    </row>
    <row r="322" spans="1:5">
      <c r="A322" s="52">
        <v>33419</v>
      </c>
      <c r="B322" s="72">
        <v>3555.3344860000002</v>
      </c>
      <c r="C322" s="72">
        <v>2009.762422</v>
      </c>
      <c r="D322" s="64">
        <f t="shared" si="5"/>
        <v>1.0667999999803164</v>
      </c>
      <c r="E322" s="55">
        <v>3942.080864</v>
      </c>
    </row>
    <row r="323" spans="1:5">
      <c r="A323" s="52">
        <v>33450</v>
      </c>
      <c r="B323" s="72">
        <v>3940.3772100000001</v>
      </c>
      <c r="C323" s="72">
        <v>2211.7435449999998</v>
      </c>
      <c r="D323" s="64">
        <f t="shared" si="5"/>
        <v>1.1082999997654792</v>
      </c>
      <c r="E323" s="55">
        <v>4338.2599899999996</v>
      </c>
    </row>
    <row r="324" spans="1:5">
      <c r="A324" s="52">
        <v>33481</v>
      </c>
      <c r="B324" s="72">
        <v>4418.7390029999997</v>
      </c>
      <c r="C324" s="72">
        <v>2476.0468989999999</v>
      </c>
      <c r="D324" s="64">
        <f t="shared" si="5"/>
        <v>1.1213999999253876</v>
      </c>
      <c r="E324" s="55">
        <v>4856.6810580000001</v>
      </c>
    </row>
    <row r="325" spans="1:5">
      <c r="A325" s="52">
        <v>33511</v>
      </c>
      <c r="B325" s="72">
        <v>5108.9460349999999</v>
      </c>
      <c r="C325" s="72">
        <v>2891.5275689999999</v>
      </c>
      <c r="D325" s="64">
        <f t="shared" si="5"/>
        <v>1.1561999999392134</v>
      </c>
      <c r="E325" s="55">
        <v>5671.6333070000001</v>
      </c>
    </row>
    <row r="326" spans="1:5">
      <c r="A326" s="52">
        <f>A325+31</f>
        <v>33542</v>
      </c>
      <c r="B326" s="72">
        <v>5906.9634050000004</v>
      </c>
      <c r="C326" s="72">
        <v>3463.1825690000001</v>
      </c>
      <c r="D326" s="64">
        <f>B326/B325</f>
        <v>1.1561999998694448</v>
      </c>
      <c r="E326" s="55">
        <v>6792.9152110000005</v>
      </c>
    </row>
    <row r="327" spans="1:5">
      <c r="A327" s="52">
        <v>33572</v>
      </c>
      <c r="B327" s="72">
        <v>7152.1512899999998</v>
      </c>
      <c r="C327" s="72">
        <v>4520.1458890000004</v>
      </c>
      <c r="D327" s="64">
        <f>B327/B326</f>
        <v>1.210799999868968</v>
      </c>
      <c r="E327" s="55">
        <v>8866.1129330000003</v>
      </c>
    </row>
    <row r="328" spans="1:5">
      <c r="A328" s="52">
        <v>33603</v>
      </c>
      <c r="B328" s="72">
        <v>9046.0409510000009</v>
      </c>
      <c r="C328" s="72">
        <v>5804.7713510000003</v>
      </c>
      <c r="D328" s="64">
        <f>B328/B327</f>
        <v>1.2647999999172279</v>
      </c>
      <c r="E328" s="55">
        <v>11385.862228</v>
      </c>
    </row>
    <row r="329" spans="1:5">
      <c r="A329" s="52"/>
      <c r="B329" s="72"/>
      <c r="C329" s="72"/>
      <c r="D329" s="64"/>
      <c r="E329" s="55"/>
    </row>
    <row r="330" spans="1:5">
      <c r="A330" s="52"/>
      <c r="B330" s="72"/>
      <c r="C330" s="72"/>
      <c r="D330" s="64"/>
      <c r="E330" s="55"/>
    </row>
    <row r="331" spans="1:5">
      <c r="A331" s="52"/>
      <c r="B331" s="72"/>
      <c r="C331" s="72"/>
      <c r="D331" s="64"/>
      <c r="E331" s="55"/>
    </row>
    <row r="332" spans="1:5">
      <c r="A332" s="52"/>
      <c r="B332" s="72"/>
      <c r="C332" s="72"/>
      <c r="D332" s="64"/>
      <c r="E332" s="55"/>
    </row>
    <row r="333" spans="1:5">
      <c r="A333" s="52"/>
      <c r="B333" s="72"/>
      <c r="C333" s="72"/>
      <c r="D333" s="64"/>
      <c r="E333" s="55"/>
    </row>
    <row r="334" spans="1:5">
      <c r="A334" s="52"/>
      <c r="B334" s="72"/>
      <c r="C334" s="72"/>
      <c r="D334" s="64"/>
      <c r="E334" s="55"/>
    </row>
    <row r="335" spans="1:5">
      <c r="A335" s="52"/>
      <c r="B335" s="72"/>
      <c r="C335" s="72"/>
      <c r="D335" s="64"/>
      <c r="E335" s="55"/>
    </row>
    <row r="336" spans="1:5">
      <c r="A336" s="52"/>
      <c r="B336" s="72"/>
      <c r="C336" s="72"/>
      <c r="D336" s="64"/>
      <c r="E336" s="55"/>
    </row>
    <row r="337" spans="1:5">
      <c r="A337" s="52"/>
      <c r="B337" s="72"/>
      <c r="C337" s="72"/>
      <c r="D337" s="64"/>
      <c r="E337" s="55"/>
    </row>
    <row r="338" spans="1:5">
      <c r="A338" s="52"/>
      <c r="B338" s="72"/>
      <c r="C338" s="72"/>
      <c r="D338" s="64"/>
      <c r="E338" s="55"/>
    </row>
    <row r="339" spans="1:5">
      <c r="A339" s="52"/>
      <c r="B339" s="72"/>
      <c r="C339" s="72"/>
      <c r="D339" s="64"/>
      <c r="E339" s="55"/>
    </row>
    <row r="340" spans="1:5">
      <c r="A340" s="52"/>
      <c r="B340" s="72"/>
      <c r="C340" s="72"/>
      <c r="D340" s="64"/>
      <c r="E340" s="55"/>
    </row>
    <row r="341" spans="1:5">
      <c r="A341" s="52"/>
      <c r="B341" s="72"/>
      <c r="C341" s="72"/>
      <c r="D341" s="64"/>
      <c r="E341" s="55"/>
    </row>
    <row r="342" spans="1:5">
      <c r="A342" s="52"/>
      <c r="B342" s="72"/>
      <c r="C342" s="72"/>
      <c r="D342" s="64"/>
      <c r="E342" s="55"/>
    </row>
    <row r="343" spans="1:5">
      <c r="A343" s="52"/>
      <c r="B343" s="72"/>
      <c r="C343" s="72"/>
      <c r="D343" s="64"/>
      <c r="E343" s="55"/>
    </row>
    <row r="344" spans="1:5">
      <c r="A344" s="52"/>
      <c r="B344" s="72"/>
      <c r="C344" s="72"/>
      <c r="D344" s="64"/>
      <c r="E344" s="55"/>
    </row>
    <row r="345" spans="1:5">
      <c r="A345" s="52"/>
      <c r="B345" s="72"/>
      <c r="C345" s="72"/>
      <c r="D345" s="64"/>
      <c r="E345" s="55"/>
    </row>
    <row r="346" spans="1:5">
      <c r="A346" s="52"/>
      <c r="B346" s="72"/>
      <c r="C346" s="72"/>
      <c r="D346" s="64"/>
      <c r="E346" s="55"/>
    </row>
    <row r="347" spans="1:5">
      <c r="A347" s="52"/>
      <c r="B347" s="72"/>
      <c r="C347" s="72"/>
      <c r="D347" s="64"/>
      <c r="E347" s="55"/>
    </row>
    <row r="348" spans="1:5">
      <c r="A348" s="52"/>
      <c r="B348" s="72"/>
      <c r="C348" s="72"/>
      <c r="D348" s="64"/>
      <c r="E348" s="55"/>
    </row>
    <row r="349" spans="1:5">
      <c r="A349" s="52"/>
      <c r="B349" s="72"/>
      <c r="C349" s="72"/>
      <c r="D349" s="64"/>
      <c r="E349" s="55"/>
    </row>
    <row r="350" spans="1:5">
      <c r="A350" s="52"/>
      <c r="B350" s="72"/>
      <c r="C350" s="72"/>
      <c r="D350" s="64"/>
      <c r="E350" s="55"/>
    </row>
    <row r="351" spans="1:5">
      <c r="A351" s="52"/>
      <c r="B351" s="72"/>
      <c r="C351" s="72"/>
      <c r="D351" s="64"/>
      <c r="E351" s="55"/>
    </row>
    <row r="352" spans="1:5">
      <c r="A352" s="52"/>
      <c r="B352" s="72"/>
      <c r="C352" s="72"/>
      <c r="D352" s="64"/>
      <c r="E352" s="55"/>
    </row>
    <row r="353" spans="1:12">
      <c r="A353" s="52"/>
      <c r="B353" s="72"/>
      <c r="C353" s="72"/>
      <c r="D353" s="64"/>
      <c r="E353" s="55"/>
    </row>
    <row r="354" spans="1:12">
      <c r="A354" s="52"/>
      <c r="B354" s="72"/>
      <c r="C354" s="72"/>
      <c r="D354" s="64"/>
      <c r="E354" s="55"/>
    </row>
    <row r="355" spans="1:12">
      <c r="A355" s="52"/>
      <c r="B355" s="72"/>
      <c r="C355" s="72"/>
      <c r="D355" s="64"/>
      <c r="E355" s="55"/>
    </row>
    <row r="356" spans="1:12">
      <c r="A356" s="52"/>
      <c r="B356" s="72"/>
      <c r="C356" s="72"/>
      <c r="D356" s="64"/>
      <c r="E356" s="55"/>
    </row>
    <row r="357" spans="1:12">
      <c r="A357" s="52"/>
      <c r="B357" s="72"/>
      <c r="C357" s="72"/>
      <c r="D357" s="64"/>
      <c r="E357" s="55"/>
    </row>
    <row r="358" spans="1:12">
      <c r="A358" s="52"/>
      <c r="B358" s="72"/>
      <c r="C358" s="72"/>
      <c r="D358" s="64"/>
      <c r="E358" s="55"/>
    </row>
    <row r="359" spans="1:12">
      <c r="A359" s="52"/>
      <c r="B359" s="74"/>
      <c r="C359" s="74"/>
      <c r="D359" s="64"/>
      <c r="E359" s="55"/>
    </row>
    <row r="360" spans="1:12">
      <c r="A360" s="52"/>
      <c r="B360" s="74"/>
      <c r="C360" s="74"/>
      <c r="D360" s="64"/>
      <c r="E360" s="55"/>
    </row>
    <row r="361" spans="1:12">
      <c r="A361" s="52"/>
      <c r="B361" s="74"/>
      <c r="C361" s="74"/>
      <c r="D361" s="64"/>
      <c r="E361" s="55"/>
    </row>
    <row r="362" spans="1:12">
      <c r="A362" s="52"/>
      <c r="B362" s="74"/>
      <c r="C362" s="74"/>
      <c r="D362" s="64"/>
      <c r="E362" s="55"/>
    </row>
    <row r="363" spans="1:12">
      <c r="A363" s="52"/>
      <c r="B363" s="74"/>
      <c r="C363" s="74"/>
      <c r="D363" s="64"/>
      <c r="E363" s="55"/>
    </row>
    <row r="364" spans="1:12">
      <c r="A364" s="52"/>
      <c r="B364" s="74"/>
      <c r="C364" s="74"/>
      <c r="D364" s="64"/>
      <c r="E364" s="55"/>
    </row>
    <row r="365" spans="1:12">
      <c r="A365" s="52"/>
      <c r="B365" s="74"/>
      <c r="C365" s="74"/>
      <c r="D365" s="64"/>
      <c r="E365" s="55"/>
    </row>
    <row r="366" spans="1:12">
      <c r="A366" s="52"/>
      <c r="B366" s="74"/>
      <c r="C366" s="74"/>
      <c r="D366" s="64"/>
      <c r="E366" s="55"/>
    </row>
    <row r="367" spans="1:12" ht="15.75" thickBot="1">
      <c r="A367" s="52"/>
      <c r="B367" s="74"/>
      <c r="C367" s="74"/>
      <c r="D367" s="64"/>
      <c r="E367" s="55"/>
      <c r="H367" s="8"/>
      <c r="I367" s="8"/>
      <c r="J367" s="8"/>
      <c r="K367" s="8"/>
      <c r="L367" s="8"/>
    </row>
    <row r="368" spans="1:12">
      <c r="A368" s="52"/>
      <c r="B368" s="74"/>
      <c r="C368" s="74"/>
      <c r="D368" s="64"/>
      <c r="E368" s="55"/>
      <c r="H368" s="7"/>
      <c r="I368" s="6"/>
      <c r="J368" s="6"/>
      <c r="K368" s="6"/>
      <c r="L368" s="6"/>
    </row>
    <row r="369" spans="1:12">
      <c r="A369" s="52"/>
      <c r="B369" s="74"/>
      <c r="C369" s="74"/>
      <c r="D369" s="64"/>
      <c r="E369" s="55"/>
      <c r="H369" s="5"/>
      <c r="I369" s="4"/>
      <c r="J369" s="4"/>
      <c r="K369" s="4"/>
      <c r="L369" s="4"/>
    </row>
    <row r="370" spans="1:12" ht="15.75" thickBot="1">
      <c r="A370" s="52"/>
      <c r="B370" s="74"/>
      <c r="C370" s="74"/>
      <c r="D370" s="64"/>
      <c r="E370" s="55"/>
      <c r="H370" s="3"/>
      <c r="I370" s="2"/>
      <c r="J370" s="2"/>
      <c r="K370" s="2"/>
      <c r="L370" s="2"/>
    </row>
    <row r="371" spans="1:12">
      <c r="A371" s="52"/>
      <c r="B371" s="74"/>
      <c r="C371" s="74"/>
      <c r="D371" s="64"/>
      <c r="E371" s="55"/>
    </row>
    <row r="372" spans="1:12">
      <c r="A372" s="52"/>
      <c r="B372" s="74"/>
      <c r="C372" s="74"/>
      <c r="D372" s="64"/>
      <c r="E372" s="55"/>
    </row>
    <row r="373" spans="1:12">
      <c r="A373" s="52"/>
      <c r="B373" s="74"/>
      <c r="C373" s="74"/>
      <c r="D373" s="64"/>
      <c r="E373" s="55"/>
    </row>
    <row r="374" spans="1:12">
      <c r="A374" s="52"/>
      <c r="B374" s="74"/>
      <c r="C374" s="74"/>
      <c r="D374" s="65"/>
      <c r="E374" s="55"/>
    </row>
    <row r="375" spans="1:12">
      <c r="A375" s="52"/>
      <c r="B375" s="74"/>
      <c r="C375" s="74"/>
      <c r="D375" s="64"/>
      <c r="E375" s="55"/>
    </row>
    <row r="376" spans="1:12">
      <c r="A376" s="52"/>
      <c r="B376" s="74"/>
      <c r="C376" s="74"/>
      <c r="D376" s="64"/>
      <c r="E376" s="55"/>
    </row>
    <row r="377" spans="1:12">
      <c r="A377" s="52"/>
      <c r="B377" s="74"/>
      <c r="C377" s="74"/>
      <c r="D377" s="64"/>
      <c r="E377" s="55"/>
    </row>
    <row r="378" spans="1:12">
      <c r="A378" s="52"/>
      <c r="B378" s="74"/>
      <c r="C378" s="74"/>
      <c r="D378" s="64"/>
      <c r="E378" s="55"/>
    </row>
    <row r="379" spans="1:12">
      <c r="A379" s="52"/>
      <c r="B379" s="74"/>
      <c r="C379" s="74"/>
      <c r="D379" s="64"/>
      <c r="E379" s="55"/>
    </row>
    <row r="380" spans="1:12">
      <c r="A380" s="52"/>
      <c r="B380" s="74"/>
      <c r="C380" s="74"/>
      <c r="D380" s="64"/>
      <c r="E380" s="55"/>
    </row>
    <row r="381" spans="1:12">
      <c r="A381" s="52"/>
      <c r="B381" s="74"/>
      <c r="C381" s="74"/>
      <c r="D381" s="64"/>
      <c r="E381" s="55"/>
    </row>
    <row r="382" spans="1:12">
      <c r="A382" s="52"/>
      <c r="B382" s="74"/>
      <c r="C382" s="74"/>
      <c r="D382" s="64"/>
      <c r="E382" s="55"/>
    </row>
    <row r="383" spans="1:12">
      <c r="A383" s="52"/>
      <c r="B383" s="74"/>
      <c r="C383" s="74"/>
      <c r="D383" s="64"/>
      <c r="E383" s="55"/>
    </row>
    <row r="384" spans="1:12">
      <c r="A384" s="52"/>
      <c r="B384" s="74"/>
      <c r="C384" s="74"/>
      <c r="D384" s="64"/>
      <c r="E384" s="55"/>
    </row>
    <row r="385" spans="1:5">
      <c r="A385" s="52"/>
      <c r="B385" s="74"/>
      <c r="C385" s="74"/>
      <c r="D385" s="64"/>
      <c r="E385" s="55"/>
    </row>
    <row r="386" spans="1:5">
      <c r="A386" s="52"/>
      <c r="B386" s="74"/>
      <c r="C386" s="74"/>
      <c r="D386" s="64"/>
      <c r="E386" s="55"/>
    </row>
    <row r="387" spans="1:5">
      <c r="A387" s="52"/>
      <c r="B387" s="74"/>
      <c r="C387" s="74"/>
      <c r="D387" s="64"/>
      <c r="E387" s="55"/>
    </row>
    <row r="388" spans="1:5">
      <c r="A388" s="52"/>
      <c r="B388" s="74"/>
      <c r="C388" s="74"/>
      <c r="D388" s="64"/>
      <c r="E388" s="55"/>
    </row>
    <row r="389" spans="1:5">
      <c r="A389" s="52"/>
      <c r="B389" s="74"/>
      <c r="C389" s="74"/>
      <c r="D389" s="64"/>
      <c r="E389" s="55"/>
    </row>
    <row r="390" spans="1:5">
      <c r="A390" s="52"/>
      <c r="B390" s="74"/>
      <c r="C390" s="74"/>
      <c r="D390" s="64"/>
      <c r="E390" s="55"/>
    </row>
    <row r="391" spans="1:5">
      <c r="A391" s="52"/>
      <c r="B391" s="74"/>
      <c r="C391" s="74"/>
      <c r="D391" s="64"/>
      <c r="E391" s="55"/>
    </row>
    <row r="392" spans="1:5">
      <c r="A392" s="52"/>
      <c r="B392" s="74"/>
      <c r="C392" s="74"/>
      <c r="D392" s="64"/>
      <c r="E392" s="55"/>
    </row>
    <row r="393" spans="1:5">
      <c r="A393" s="52"/>
      <c r="B393" s="74"/>
      <c r="C393" s="74"/>
      <c r="D393" s="64"/>
      <c r="E393" s="55"/>
    </row>
    <row r="394" spans="1:5">
      <c r="A394" s="52"/>
      <c r="B394" s="74"/>
      <c r="C394" s="74"/>
      <c r="D394" s="64"/>
      <c r="E394" s="55"/>
    </row>
    <row r="395" spans="1:5">
      <c r="A395" s="52"/>
      <c r="B395" s="74"/>
      <c r="C395" s="74"/>
      <c r="D395" s="64"/>
      <c r="E395" s="55"/>
    </row>
    <row r="396" spans="1:5">
      <c r="A396" s="52"/>
      <c r="B396" s="74"/>
      <c r="C396" s="74"/>
      <c r="D396" s="64"/>
      <c r="E396" s="55"/>
    </row>
    <row r="397" spans="1:5">
      <c r="A397" s="52"/>
      <c r="B397" s="74"/>
      <c r="C397" s="74"/>
      <c r="D397" s="64"/>
      <c r="E397" s="55"/>
    </row>
    <row r="398" spans="1:5">
      <c r="A398" s="52"/>
      <c r="B398" s="74"/>
      <c r="C398" s="74"/>
      <c r="D398" s="64"/>
      <c r="E398" s="55"/>
    </row>
    <row r="399" spans="1:5">
      <c r="A399" s="52"/>
      <c r="B399" s="74"/>
      <c r="C399" s="74"/>
      <c r="D399" s="64"/>
      <c r="E399" s="55"/>
    </row>
    <row r="400" spans="1:5">
      <c r="A400" s="52"/>
      <c r="B400" s="74"/>
      <c r="C400" s="74"/>
      <c r="D400" s="64"/>
      <c r="E400" s="55"/>
    </row>
    <row r="401" spans="1:5">
      <c r="A401" s="52"/>
      <c r="B401" s="74"/>
      <c r="C401" s="74"/>
      <c r="D401" s="64"/>
      <c r="E401" s="55"/>
    </row>
    <row r="402" spans="1:5">
      <c r="A402" s="52"/>
      <c r="B402" s="74"/>
      <c r="C402" s="74"/>
      <c r="D402" s="64"/>
      <c r="E402" s="55"/>
    </row>
    <row r="403" spans="1:5">
      <c r="A403" s="52"/>
      <c r="B403" s="74"/>
      <c r="C403" s="74"/>
      <c r="D403" s="64"/>
      <c r="E403" s="55"/>
    </row>
    <row r="404" spans="1:5">
      <c r="A404" s="52"/>
      <c r="B404" s="74"/>
      <c r="C404" s="74"/>
      <c r="D404" s="64"/>
      <c r="E404" s="55"/>
    </row>
    <row r="405" spans="1:5">
      <c r="A405" s="52"/>
      <c r="B405" s="74"/>
      <c r="C405" s="74"/>
      <c r="D405" s="64"/>
      <c r="E405" s="55"/>
    </row>
    <row r="406" spans="1:5">
      <c r="A406" s="52"/>
      <c r="B406" s="74"/>
      <c r="C406" s="74"/>
      <c r="D406" s="64"/>
      <c r="E406" s="55"/>
    </row>
    <row r="407" spans="1:5">
      <c r="A407" s="52"/>
      <c r="B407" s="74"/>
      <c r="C407" s="74"/>
      <c r="D407" s="64"/>
      <c r="E407" s="55"/>
    </row>
    <row r="408" spans="1:5">
      <c r="A408" s="52"/>
      <c r="B408" s="74"/>
      <c r="C408" s="74"/>
      <c r="D408" s="64"/>
      <c r="E408" s="55"/>
    </row>
    <row r="409" spans="1:5">
      <c r="A409" s="52"/>
      <c r="B409" s="74"/>
      <c r="C409" s="74"/>
      <c r="D409" s="64"/>
      <c r="E409" s="55"/>
    </row>
    <row r="410" spans="1:5">
      <c r="A410" s="52"/>
      <c r="B410" s="74"/>
      <c r="C410" s="74"/>
      <c r="D410" s="64"/>
      <c r="E410" s="55"/>
    </row>
    <row r="411" spans="1:5">
      <c r="A411" s="52"/>
      <c r="B411" s="74"/>
      <c r="C411" s="74"/>
      <c r="D411" s="64"/>
      <c r="E411" s="55"/>
    </row>
    <row r="412" spans="1:5">
      <c r="A412" s="52"/>
      <c r="B412" s="74"/>
      <c r="C412" s="74"/>
      <c r="D412" s="64"/>
      <c r="E412" s="55"/>
    </row>
    <row r="413" spans="1:5">
      <c r="A413" s="52"/>
      <c r="B413" s="74"/>
      <c r="C413" s="74"/>
      <c r="D413" s="64"/>
      <c r="E413" s="55"/>
    </row>
    <row r="414" spans="1:5">
      <c r="A414" s="52"/>
      <c r="B414" s="74"/>
      <c r="C414" s="74"/>
      <c r="D414" s="64"/>
      <c r="E414" s="55"/>
    </row>
    <row r="415" spans="1:5">
      <c r="A415" s="52"/>
      <c r="B415" s="74"/>
      <c r="C415" s="74"/>
      <c r="D415" s="64"/>
      <c r="E415" s="55"/>
    </row>
    <row r="416" spans="1:5">
      <c r="A416" s="52"/>
      <c r="B416" s="74"/>
      <c r="C416" s="74"/>
      <c r="D416" s="64"/>
      <c r="E416" s="55"/>
    </row>
    <row r="417" spans="1:5">
      <c r="A417" s="52"/>
      <c r="B417" s="74"/>
      <c r="C417" s="74"/>
      <c r="D417" s="64"/>
      <c r="E417" s="55"/>
    </row>
    <row r="418" spans="1:5">
      <c r="A418" s="52"/>
      <c r="B418" s="74"/>
      <c r="C418" s="74"/>
      <c r="D418" s="64"/>
      <c r="E418" s="55"/>
    </row>
    <row r="419" spans="1:5">
      <c r="A419" s="52"/>
      <c r="B419" s="74"/>
      <c r="C419" s="74"/>
      <c r="D419" s="64"/>
      <c r="E419" s="55"/>
    </row>
    <row r="420" spans="1:5">
      <c r="A420" s="52"/>
      <c r="B420" s="74"/>
      <c r="C420" s="74"/>
      <c r="D420" s="66"/>
      <c r="E420" s="55"/>
    </row>
    <row r="421" spans="1:5">
      <c r="A421" s="52"/>
      <c r="B421" s="74"/>
      <c r="C421" s="74"/>
      <c r="D421" s="66"/>
      <c r="E421" s="55"/>
    </row>
    <row r="422" spans="1:5">
      <c r="A422" s="52"/>
      <c r="B422" s="74"/>
      <c r="C422" s="74"/>
      <c r="D422" s="66"/>
      <c r="E422" s="55"/>
    </row>
    <row r="423" spans="1:5">
      <c r="A423" s="52"/>
      <c r="B423" s="74"/>
      <c r="C423" s="74"/>
      <c r="D423" s="66"/>
      <c r="E423" s="55"/>
    </row>
    <row r="424" spans="1:5">
      <c r="A424" s="52"/>
      <c r="B424" s="74"/>
      <c r="C424" s="74"/>
      <c r="D424" s="66"/>
      <c r="E424" s="55"/>
    </row>
    <row r="425" spans="1:5">
      <c r="A425" s="52"/>
      <c r="B425" s="74"/>
      <c r="C425" s="74"/>
      <c r="D425" s="66"/>
      <c r="E425" s="55"/>
    </row>
    <row r="426" spans="1:5">
      <c r="A426" s="52"/>
      <c r="B426" s="74"/>
      <c r="C426" s="74"/>
      <c r="D426" s="66"/>
      <c r="E426" s="55"/>
    </row>
    <row r="427" spans="1:5">
      <c r="A427" s="52"/>
      <c r="B427" s="74"/>
      <c r="C427" s="74"/>
      <c r="D427" s="66"/>
      <c r="E427" s="55"/>
    </row>
    <row r="428" spans="1:5">
      <c r="A428" s="52"/>
      <c r="B428" s="74"/>
      <c r="C428" s="74"/>
      <c r="D428" s="66"/>
      <c r="E428" s="55"/>
    </row>
    <row r="429" spans="1:5">
      <c r="A429" s="52"/>
      <c r="B429" s="74"/>
      <c r="C429" s="74"/>
      <c r="D429" s="66"/>
      <c r="E429" s="55"/>
    </row>
    <row r="430" spans="1:5">
      <c r="A430" s="52"/>
      <c r="B430" s="74"/>
      <c r="C430" s="74"/>
      <c r="D430" s="66"/>
      <c r="E430" s="55"/>
    </row>
    <row r="431" spans="1:5">
      <c r="A431" s="52"/>
      <c r="B431" s="74"/>
      <c r="C431" s="74"/>
      <c r="D431" s="66"/>
      <c r="E431" s="55"/>
    </row>
    <row r="432" spans="1:5">
      <c r="A432" s="52"/>
      <c r="B432" s="74"/>
      <c r="C432" s="74"/>
      <c r="D432" s="66"/>
      <c r="E432" s="55"/>
    </row>
    <row r="433" spans="1:6">
      <c r="A433" s="52"/>
      <c r="B433" s="74"/>
      <c r="C433" s="74"/>
      <c r="D433" s="66"/>
      <c r="E433" s="55"/>
    </row>
    <row r="434" spans="1:6">
      <c r="A434" s="52"/>
      <c r="B434" s="74"/>
      <c r="C434" s="74"/>
      <c r="D434" s="66"/>
      <c r="E434" s="55"/>
    </row>
    <row r="435" spans="1:6">
      <c r="A435" s="52"/>
      <c r="B435" s="74"/>
      <c r="C435" s="74"/>
      <c r="D435" s="66"/>
      <c r="E435" s="55"/>
    </row>
    <row r="436" spans="1:6">
      <c r="A436" s="52"/>
      <c r="B436" s="74"/>
      <c r="C436" s="74"/>
      <c r="D436" s="66"/>
      <c r="E436" s="55"/>
    </row>
    <row r="437" spans="1:6">
      <c r="A437" s="52"/>
      <c r="B437" s="74"/>
      <c r="C437" s="74"/>
      <c r="D437" s="66"/>
      <c r="E437" s="55"/>
    </row>
    <row r="438" spans="1:6">
      <c r="A438" s="52"/>
      <c r="B438" s="74"/>
      <c r="C438" s="74"/>
      <c r="D438" s="66"/>
      <c r="E438" s="55"/>
    </row>
    <row r="439" spans="1:6">
      <c r="A439" s="52"/>
      <c r="B439" s="74"/>
      <c r="C439" s="74"/>
      <c r="D439" s="66"/>
      <c r="E439" s="55"/>
    </row>
    <row r="440" spans="1:6">
      <c r="A440" s="52"/>
      <c r="B440" s="74"/>
      <c r="C440" s="74"/>
      <c r="D440" s="66"/>
      <c r="E440" s="55"/>
    </row>
    <row r="441" spans="1:6">
      <c r="A441" s="52"/>
      <c r="B441" s="72"/>
      <c r="C441" s="74"/>
      <c r="D441" s="66"/>
      <c r="E441" s="55"/>
    </row>
    <row r="442" spans="1:6">
      <c r="A442" s="52"/>
      <c r="B442" s="75"/>
      <c r="C442" s="74"/>
      <c r="D442" s="67"/>
      <c r="E442" s="55"/>
    </row>
    <row r="443" spans="1:6">
      <c r="A443" s="52"/>
      <c r="B443" s="76"/>
      <c r="C443" s="77"/>
      <c r="D443" s="64"/>
      <c r="E443" s="55"/>
    </row>
    <row r="444" spans="1:6">
      <c r="A444" s="52"/>
      <c r="B444" s="76"/>
      <c r="C444" s="77"/>
      <c r="D444" s="64"/>
      <c r="E444" s="55"/>
    </row>
    <row r="445" spans="1:6">
      <c r="A445" s="52"/>
      <c r="B445" s="77"/>
      <c r="C445" s="77"/>
      <c r="D445" s="64"/>
      <c r="E445" s="55"/>
      <c r="F445" s="1"/>
    </row>
    <row r="446" spans="1:6">
      <c r="A446" s="56"/>
      <c r="B446" s="77"/>
      <c r="C446" s="77"/>
      <c r="D446" s="64"/>
      <c r="E446" s="55"/>
    </row>
    <row r="447" spans="1:6">
      <c r="A447" s="56"/>
      <c r="B447" s="77"/>
      <c r="C447" s="77"/>
      <c r="D447" s="64"/>
      <c r="E447" s="55"/>
    </row>
    <row r="448" spans="1:6">
      <c r="A448" s="52"/>
      <c r="B448" s="77"/>
      <c r="C448" s="77"/>
      <c r="D448" s="64"/>
      <c r="E448" s="55"/>
    </row>
    <row r="449" spans="1:5">
      <c r="A449" s="52"/>
      <c r="B449" s="77"/>
      <c r="C449" s="77"/>
      <c r="D449" s="64"/>
      <c r="E449" s="55"/>
    </row>
    <row r="450" spans="1:5">
      <c r="A450" s="52"/>
      <c r="B450" s="77"/>
      <c r="C450" s="77"/>
      <c r="D450" s="64"/>
      <c r="E450" s="55"/>
    </row>
    <row r="451" spans="1:5">
      <c r="A451" s="52"/>
      <c r="B451" s="77"/>
      <c r="C451" s="77"/>
      <c r="D451" s="64"/>
      <c r="E451" s="55"/>
    </row>
    <row r="452" spans="1:5">
      <c r="A452" s="52"/>
      <c r="B452" s="77"/>
      <c r="C452" s="77"/>
      <c r="D452" s="64"/>
      <c r="E452" s="55"/>
    </row>
    <row r="453" spans="1:5">
      <c r="A453" s="56"/>
      <c r="B453" s="77"/>
      <c r="C453" s="77"/>
      <c r="D453" s="64"/>
      <c r="E453" s="55"/>
    </row>
    <row r="454" spans="1:5">
      <c r="A454" s="52"/>
      <c r="B454" s="77"/>
      <c r="C454" s="77"/>
      <c r="D454" s="64"/>
      <c r="E454" s="55"/>
    </row>
    <row r="455" spans="1:5">
      <c r="A455" s="52"/>
      <c r="B455" s="77"/>
      <c r="C455" s="77"/>
      <c r="D455" s="64"/>
      <c r="E455" s="55"/>
    </row>
    <row r="456" spans="1:5">
      <c r="A456" s="56"/>
      <c r="B456" s="77"/>
      <c r="C456" s="77"/>
      <c r="D456" s="64"/>
      <c r="E456" s="55"/>
    </row>
    <row r="457" spans="1:5">
      <c r="A457" s="52"/>
      <c r="B457" s="77"/>
      <c r="C457" s="77"/>
      <c r="D457" s="64"/>
      <c r="E457" s="55"/>
    </row>
    <row r="458" spans="1:5">
      <c r="A458" s="52"/>
      <c r="B458" s="77"/>
      <c r="C458" s="77"/>
      <c r="D458" s="64"/>
      <c r="E458" s="55"/>
    </row>
    <row r="459" spans="1:5">
      <c r="A459" s="52"/>
      <c r="B459" s="77"/>
      <c r="C459" s="77"/>
      <c r="D459" s="64"/>
      <c r="E459" s="55"/>
    </row>
    <row r="460" spans="1:5">
      <c r="A460" s="52"/>
      <c r="B460" s="77"/>
      <c r="C460" s="77"/>
      <c r="D460" s="64"/>
      <c r="E460" s="55"/>
    </row>
    <row r="461" spans="1:5">
      <c r="A461" s="52"/>
      <c r="B461" s="77"/>
      <c r="C461" s="77"/>
      <c r="D461" s="64"/>
      <c r="E461" s="55"/>
    </row>
    <row r="462" spans="1:5">
      <c r="A462" s="52"/>
      <c r="B462" s="77"/>
      <c r="C462" s="77"/>
      <c r="D462" s="64"/>
      <c r="E462" s="55"/>
    </row>
    <row r="463" spans="1:5">
      <c r="A463" s="52"/>
      <c r="B463" s="77"/>
      <c r="C463" s="77"/>
      <c r="D463" s="64"/>
      <c r="E463" s="55"/>
    </row>
    <row r="464" spans="1:5" ht="15.75">
      <c r="A464" s="52"/>
      <c r="B464" s="78"/>
      <c r="C464" s="79"/>
      <c r="D464" s="68"/>
      <c r="E464" s="57"/>
    </row>
    <row r="465" spans="1:5" ht="15.75">
      <c r="A465" s="52"/>
      <c r="B465" s="78"/>
      <c r="C465" s="79"/>
      <c r="D465" s="68"/>
      <c r="E465" s="57"/>
    </row>
    <row r="466" spans="1:5" ht="15.75">
      <c r="A466" s="52"/>
      <c r="B466" s="78"/>
      <c r="C466" s="79"/>
      <c r="D466" s="68"/>
      <c r="E466" s="57"/>
    </row>
    <row r="467" spans="1:5" ht="15.75">
      <c r="A467" s="52"/>
      <c r="B467" s="78"/>
      <c r="C467" s="79"/>
      <c r="D467" s="68"/>
      <c r="E467" s="57"/>
    </row>
    <row r="468" spans="1:5" ht="15.75">
      <c r="A468" s="52"/>
      <c r="B468" s="78"/>
      <c r="C468" s="79"/>
      <c r="D468" s="68"/>
      <c r="E468" s="57"/>
    </row>
    <row r="469" spans="1:5" ht="15.75">
      <c r="A469" s="52"/>
      <c r="B469" s="78"/>
      <c r="C469" s="79"/>
      <c r="D469" s="68"/>
      <c r="E469" s="57"/>
    </row>
    <row r="470" spans="1:5" ht="15.75">
      <c r="A470" s="52"/>
      <c r="B470" s="78"/>
      <c r="C470" s="79"/>
      <c r="D470" s="68"/>
      <c r="E470" s="57"/>
    </row>
    <row r="471" spans="1:5" ht="15.75">
      <c r="A471" s="52"/>
      <c r="B471" s="78"/>
      <c r="C471" s="79"/>
      <c r="D471" s="68"/>
      <c r="E471" s="57"/>
    </row>
    <row r="472" spans="1:5" ht="15.75">
      <c r="A472" s="52"/>
      <c r="B472" s="78"/>
      <c r="C472" s="79"/>
      <c r="D472" s="68"/>
      <c r="E472" s="57"/>
    </row>
    <row r="473" spans="1:5" ht="15.75">
      <c r="A473" s="52"/>
      <c r="B473" s="78"/>
      <c r="C473" s="79"/>
      <c r="D473" s="68"/>
      <c r="E473" s="57"/>
    </row>
    <row r="474" spans="1:5" ht="15.75">
      <c r="A474" s="52"/>
      <c r="B474" s="78"/>
      <c r="C474" s="79"/>
      <c r="D474" s="68"/>
      <c r="E474" s="57"/>
    </row>
    <row r="475" spans="1:5" ht="15.75">
      <c r="A475" s="52"/>
      <c r="B475" s="78"/>
      <c r="C475" s="79"/>
      <c r="D475" s="68"/>
      <c r="E475" s="57"/>
    </row>
    <row r="476" spans="1:5" ht="15.75">
      <c r="A476" s="52"/>
      <c r="B476" s="78"/>
      <c r="C476" s="79"/>
      <c r="D476" s="68"/>
      <c r="E476" s="57"/>
    </row>
    <row r="477" spans="1:5" ht="15.75">
      <c r="A477" s="52"/>
      <c r="B477" s="78"/>
      <c r="C477" s="79"/>
      <c r="D477" s="68"/>
      <c r="E477" s="57"/>
    </row>
    <row r="478" spans="1:5" ht="15.75">
      <c r="A478" s="52"/>
      <c r="B478" s="78"/>
      <c r="C478" s="79"/>
      <c r="D478" s="68"/>
      <c r="E478" s="57"/>
    </row>
    <row r="479" spans="1:5" ht="15.75">
      <c r="A479" s="52"/>
      <c r="B479" s="78"/>
      <c r="C479" s="78"/>
      <c r="D479" s="68"/>
      <c r="E479" s="58"/>
    </row>
    <row r="480" spans="1:5" ht="15.75">
      <c r="A480" s="52"/>
      <c r="B480" s="78"/>
      <c r="C480" s="78"/>
      <c r="D480" s="68"/>
      <c r="E480" s="58"/>
    </row>
    <row r="481" spans="1:5" ht="15.75">
      <c r="A481" s="52"/>
      <c r="B481" s="78"/>
      <c r="C481" s="78"/>
      <c r="D481" s="68"/>
      <c r="E481" s="58"/>
    </row>
    <row r="482" spans="1:5" ht="15.75">
      <c r="A482" s="52"/>
      <c r="B482" s="78"/>
      <c r="C482" s="78"/>
      <c r="D482" s="68"/>
      <c r="E482" s="58"/>
    </row>
    <row r="483" spans="1:5" ht="15.75">
      <c r="A483" s="52"/>
      <c r="B483" s="78"/>
      <c r="C483" s="78"/>
      <c r="D483" s="68"/>
      <c r="E483" s="58"/>
    </row>
    <row r="484" spans="1:5" ht="15.75">
      <c r="A484" s="52"/>
      <c r="B484" s="78"/>
      <c r="C484" s="78"/>
      <c r="D484" s="68"/>
      <c r="E484" s="58"/>
    </row>
    <row r="485" spans="1:5" ht="15.75">
      <c r="A485" s="52"/>
      <c r="B485" s="78"/>
      <c r="C485" s="78"/>
      <c r="D485" s="68"/>
      <c r="E485" s="58"/>
    </row>
    <row r="486" spans="1:5" ht="15.75">
      <c r="A486" s="52"/>
      <c r="B486" s="78"/>
      <c r="C486" s="78"/>
      <c r="D486" s="68"/>
      <c r="E486" s="58"/>
    </row>
    <row r="487" spans="1:5" ht="15.75">
      <c r="A487" s="52"/>
      <c r="B487" s="78"/>
      <c r="C487" s="78"/>
      <c r="D487" s="68"/>
      <c r="E487" s="58"/>
    </row>
    <row r="488" spans="1:5" ht="15.75">
      <c r="A488" s="52"/>
      <c r="B488" s="78"/>
      <c r="C488" s="78"/>
      <c r="D488" s="68"/>
      <c r="E488" s="58"/>
    </row>
    <row r="489" spans="1:5" ht="15.75">
      <c r="A489" s="52"/>
      <c r="B489" s="78"/>
      <c r="C489" s="78"/>
      <c r="D489" s="68"/>
      <c r="E489" s="58"/>
    </row>
    <row r="490" spans="1:5" ht="15.75">
      <c r="A490" s="52"/>
      <c r="B490" s="78"/>
      <c r="C490" s="78"/>
      <c r="D490" s="68"/>
      <c r="E490" s="58"/>
    </row>
    <row r="491" spans="1:5" ht="15.75">
      <c r="A491" s="52"/>
      <c r="B491" s="78"/>
      <c r="C491" s="78"/>
      <c r="D491" s="68"/>
      <c r="E491" s="58"/>
    </row>
    <row r="492" spans="1:5" ht="15.75">
      <c r="A492" s="52"/>
      <c r="B492" s="78"/>
      <c r="C492" s="78"/>
      <c r="D492" s="68"/>
      <c r="E492" s="58"/>
    </row>
    <row r="493" spans="1:5" ht="15.75">
      <c r="A493" s="52"/>
      <c r="B493" s="78"/>
      <c r="C493" s="78"/>
      <c r="D493" s="68"/>
      <c r="E493" s="58"/>
    </row>
    <row r="494" spans="1:5" ht="15.75">
      <c r="A494" s="52"/>
      <c r="B494" s="79"/>
      <c r="C494" s="78"/>
      <c r="D494" s="68"/>
      <c r="E494" s="58"/>
    </row>
    <row r="495" spans="1:5" ht="15.75">
      <c r="A495" s="52"/>
      <c r="B495" s="79"/>
      <c r="C495" s="78"/>
      <c r="D495" s="68"/>
      <c r="E495" s="58"/>
    </row>
    <row r="496" spans="1:5" ht="15.75">
      <c r="A496" s="52"/>
      <c r="B496" s="79"/>
      <c r="C496" s="78"/>
      <c r="D496" s="68"/>
      <c r="E496" s="58"/>
    </row>
    <row r="497" spans="1:5" ht="15.75">
      <c r="A497" s="52"/>
      <c r="B497" s="79"/>
      <c r="C497" s="78"/>
      <c r="D497" s="68"/>
      <c r="E497" s="58"/>
    </row>
    <row r="498" spans="1:5" ht="15.75">
      <c r="A498" s="52"/>
      <c r="B498" s="79"/>
      <c r="C498" s="78"/>
      <c r="D498" s="68"/>
      <c r="E498" s="58"/>
    </row>
    <row r="499" spans="1:5" ht="15.75">
      <c r="A499" s="52"/>
      <c r="B499" s="79"/>
      <c r="C499" s="78"/>
      <c r="D499" s="68"/>
      <c r="E499" s="58"/>
    </row>
    <row r="500" spans="1:5" ht="15.75">
      <c r="A500" s="52"/>
      <c r="B500" s="78"/>
      <c r="C500" s="78"/>
      <c r="D500" s="68"/>
      <c r="E500" s="58"/>
    </row>
    <row r="501" spans="1:5" ht="15.75">
      <c r="A501" s="52"/>
      <c r="B501" s="78"/>
      <c r="C501" s="78"/>
      <c r="D501" s="68"/>
      <c r="E501" s="58"/>
    </row>
    <row r="502" spans="1:5" ht="15.75">
      <c r="A502" s="52"/>
      <c r="B502" s="78"/>
      <c r="C502" s="78"/>
      <c r="D502" s="68"/>
      <c r="E502" s="58"/>
    </row>
    <row r="503" spans="1:5" ht="15.75">
      <c r="A503" s="52"/>
      <c r="B503" s="78"/>
      <c r="C503" s="78"/>
      <c r="D503" s="68"/>
      <c r="E503" s="58"/>
    </row>
    <row r="504" spans="1:5" ht="15.75">
      <c r="A504" s="52"/>
      <c r="B504" s="78"/>
      <c r="C504" s="78"/>
      <c r="D504" s="68"/>
      <c r="E504" s="58"/>
    </row>
    <row r="505" spans="1:5" ht="15.75">
      <c r="A505" s="52"/>
      <c r="B505" s="78"/>
      <c r="C505" s="78"/>
      <c r="D505" s="68"/>
      <c r="E505" s="58"/>
    </row>
    <row r="506" spans="1:5" ht="15.75">
      <c r="A506" s="52"/>
      <c r="B506" s="78"/>
      <c r="C506" s="78"/>
      <c r="D506" s="68"/>
      <c r="E506" s="58"/>
    </row>
    <row r="507" spans="1:5" ht="15.75">
      <c r="A507" s="52"/>
      <c r="B507" s="78"/>
      <c r="C507" s="78"/>
      <c r="D507" s="68"/>
      <c r="E507" s="58"/>
    </row>
    <row r="508" spans="1:5" ht="15.75">
      <c r="A508" s="52"/>
      <c r="B508" s="78"/>
      <c r="C508" s="78"/>
      <c r="D508" s="68"/>
      <c r="E508" s="58"/>
    </row>
    <row r="509" spans="1:5" ht="15.75">
      <c r="A509" s="52"/>
      <c r="B509" s="78"/>
      <c r="C509" s="78"/>
      <c r="D509" s="68"/>
      <c r="E509" s="58"/>
    </row>
    <row r="510" spans="1:5" ht="15.75">
      <c r="A510" s="52"/>
      <c r="B510" s="78"/>
      <c r="C510" s="78"/>
      <c r="D510" s="68"/>
      <c r="E510" s="58"/>
    </row>
    <row r="511" spans="1:5" ht="15.75">
      <c r="A511" s="52"/>
      <c r="B511" s="78"/>
      <c r="C511" s="78"/>
      <c r="D511" s="68"/>
      <c r="E511" s="58"/>
    </row>
    <row r="512" spans="1:5" ht="15.75">
      <c r="A512" s="52"/>
      <c r="B512" s="78"/>
      <c r="C512" s="78"/>
      <c r="D512" s="68"/>
      <c r="E512" s="58"/>
    </row>
    <row r="513" spans="1:5" ht="15.75">
      <c r="A513" s="52"/>
      <c r="B513" s="78"/>
      <c r="C513" s="78"/>
      <c r="D513" s="68"/>
      <c r="E513" s="58"/>
    </row>
    <row r="514" spans="1:5" ht="15.75">
      <c r="A514" s="52"/>
      <c r="B514" s="78"/>
      <c r="C514" s="78"/>
      <c r="D514" s="68"/>
      <c r="E514" s="58"/>
    </row>
    <row r="515" spans="1:5" ht="15.75">
      <c r="A515" s="52"/>
      <c r="B515" s="78"/>
      <c r="C515" s="78"/>
      <c r="D515" s="68"/>
      <c r="E515" s="58"/>
    </row>
    <row r="516" spans="1:5" ht="15.75">
      <c r="A516" s="52"/>
      <c r="B516" s="78"/>
      <c r="C516" s="78"/>
      <c r="D516" s="68"/>
      <c r="E516" s="58"/>
    </row>
    <row r="517" spans="1:5" ht="15.75">
      <c r="A517" s="52"/>
      <c r="B517" s="78"/>
      <c r="C517" s="78"/>
      <c r="D517" s="68"/>
      <c r="E517" s="58"/>
    </row>
    <row r="518" spans="1:5" ht="15.75">
      <c r="A518" s="52"/>
      <c r="B518" s="78"/>
      <c r="C518" s="78"/>
      <c r="D518" s="68"/>
      <c r="E518" s="58"/>
    </row>
    <row r="519" spans="1:5" ht="15.75">
      <c r="A519" s="52"/>
      <c r="B519" s="78"/>
      <c r="C519" s="78"/>
      <c r="D519" s="68"/>
      <c r="E519" s="58"/>
    </row>
    <row r="520" spans="1:5" ht="15.75">
      <c r="A520" s="52"/>
      <c r="B520" s="78"/>
      <c r="C520" s="78"/>
      <c r="D520" s="68"/>
      <c r="E520" s="58"/>
    </row>
    <row r="521" spans="1:5" ht="15.75">
      <c r="A521" s="52"/>
      <c r="B521" s="78"/>
      <c r="C521" s="78"/>
      <c r="D521" s="68"/>
      <c r="E521" s="58"/>
    </row>
    <row r="522" spans="1:5" ht="15.75">
      <c r="A522" s="52"/>
      <c r="B522" s="78"/>
      <c r="C522" s="78"/>
      <c r="D522" s="68"/>
      <c r="E522" s="58"/>
    </row>
    <row r="523" spans="1:5" ht="15.75">
      <c r="A523" s="52"/>
      <c r="B523" s="78"/>
      <c r="C523" s="78"/>
      <c r="D523" s="68"/>
      <c r="E523" s="58"/>
    </row>
    <row r="524" spans="1:5" ht="15.75">
      <c r="A524" s="52"/>
      <c r="B524" s="78"/>
      <c r="C524" s="78"/>
      <c r="D524" s="68"/>
      <c r="E524" s="58"/>
    </row>
    <row r="525" spans="1:5" ht="15.75">
      <c r="A525" s="52"/>
      <c r="B525" s="78"/>
      <c r="C525" s="78"/>
      <c r="D525" s="68"/>
      <c r="E525" s="58"/>
    </row>
    <row r="526" spans="1:5" ht="15.75">
      <c r="A526" s="52"/>
      <c r="B526" s="78"/>
      <c r="C526" s="78"/>
      <c r="D526" s="68"/>
      <c r="E526" s="58"/>
    </row>
    <row r="527" spans="1:5" ht="15.75">
      <c r="A527" s="52"/>
      <c r="B527" s="78"/>
      <c r="C527" s="78"/>
      <c r="D527" s="68"/>
      <c r="E527" s="58"/>
    </row>
    <row r="528" spans="1:5" ht="15.75">
      <c r="A528" s="52"/>
      <c r="B528" s="78"/>
      <c r="C528" s="78"/>
      <c r="D528" s="68"/>
      <c r="E528" s="58"/>
    </row>
    <row r="529" spans="1:5" ht="15.75">
      <c r="A529" s="52"/>
      <c r="B529" s="78"/>
      <c r="C529" s="78"/>
      <c r="D529" s="68"/>
      <c r="E529" s="58"/>
    </row>
    <row r="530" spans="1:5" ht="15.75">
      <c r="A530" s="52"/>
      <c r="B530" s="78"/>
      <c r="C530" s="78"/>
      <c r="D530" s="68"/>
      <c r="E530" s="58"/>
    </row>
    <row r="531" spans="1:5" ht="15.75">
      <c r="A531" s="52"/>
      <c r="B531" s="77"/>
      <c r="C531" s="78"/>
      <c r="D531" s="68"/>
      <c r="E531" s="58"/>
    </row>
    <row r="532" spans="1:5" ht="15.75">
      <c r="A532" s="52"/>
      <c r="B532" s="77"/>
      <c r="C532" s="78"/>
      <c r="D532" s="68"/>
      <c r="E532" s="58"/>
    </row>
    <row r="533" spans="1:5" ht="15.75">
      <c r="A533" s="52"/>
      <c r="B533" s="77"/>
      <c r="C533" s="78"/>
      <c r="D533" s="68"/>
      <c r="E533" s="58"/>
    </row>
    <row r="534" spans="1:5" ht="15.75">
      <c r="A534" s="52"/>
      <c r="B534" s="77"/>
      <c r="C534" s="78"/>
      <c r="D534" s="68"/>
      <c r="E534" s="58"/>
    </row>
    <row r="535" spans="1:5" ht="15.75">
      <c r="A535" s="52"/>
      <c r="B535" s="77"/>
      <c r="C535" s="78"/>
      <c r="D535" s="68"/>
      <c r="E535" s="58"/>
    </row>
    <row r="536" spans="1:5" ht="15.75">
      <c r="A536" s="52"/>
      <c r="B536" s="77"/>
      <c r="C536" s="78"/>
      <c r="D536" s="68"/>
      <c r="E536" s="58"/>
    </row>
    <row r="537" spans="1:5" ht="15.75">
      <c r="A537" s="52"/>
      <c r="B537" s="77"/>
      <c r="C537" s="78"/>
      <c r="D537" s="68"/>
      <c r="E537" s="58"/>
    </row>
    <row r="538" spans="1:5" ht="15.75">
      <c r="A538" s="52"/>
      <c r="B538" s="77"/>
      <c r="C538" s="78"/>
      <c r="D538" s="68"/>
      <c r="E538" s="58"/>
    </row>
    <row r="539" spans="1:5" ht="15.75">
      <c r="A539" s="52"/>
      <c r="B539" s="77"/>
      <c r="C539" s="78"/>
      <c r="D539" s="68"/>
      <c r="E539" s="58"/>
    </row>
    <row r="540" spans="1:5" ht="15.75">
      <c r="A540" s="52"/>
      <c r="B540" s="77"/>
      <c r="C540" s="78"/>
      <c r="D540" s="68"/>
      <c r="E540" s="58"/>
    </row>
    <row r="541" spans="1:5" ht="15.75">
      <c r="A541" s="52"/>
      <c r="B541" s="77"/>
      <c r="C541" s="78"/>
      <c r="D541" s="68"/>
      <c r="E541" s="58"/>
    </row>
    <row r="542" spans="1:5" ht="15.75">
      <c r="A542" s="52"/>
      <c r="B542" s="77"/>
      <c r="C542" s="78"/>
      <c r="D542" s="68"/>
      <c r="E542" s="58"/>
    </row>
    <row r="543" spans="1:5" ht="15.75">
      <c r="A543" s="52"/>
      <c r="B543" s="77"/>
      <c r="C543" s="78"/>
      <c r="D543" s="68"/>
      <c r="E543" s="58"/>
    </row>
    <row r="544" spans="1:5" ht="15.75">
      <c r="A544" s="52"/>
      <c r="B544" s="77"/>
      <c r="C544" s="78"/>
      <c r="D544" s="68"/>
      <c r="E544" s="58"/>
    </row>
    <row r="545" spans="1:5" ht="15.75">
      <c r="A545" s="52"/>
      <c r="B545" s="77"/>
      <c r="C545" s="78"/>
      <c r="D545" s="68"/>
      <c r="E545" s="58"/>
    </row>
    <row r="546" spans="1:5" ht="15.75">
      <c r="A546" s="52"/>
      <c r="B546" s="77"/>
      <c r="C546" s="78"/>
      <c r="D546" s="68"/>
      <c r="E546" s="58"/>
    </row>
    <row r="547" spans="1:5" ht="15.75">
      <c r="A547" s="52"/>
      <c r="B547" s="77"/>
      <c r="C547" s="78"/>
      <c r="D547" s="68"/>
      <c r="E547" s="58"/>
    </row>
    <row r="548" spans="1:5">
      <c r="A548" s="52"/>
      <c r="B548" s="77"/>
      <c r="C548" s="77"/>
      <c r="D548" s="63"/>
      <c r="E548" s="59"/>
    </row>
    <row r="549" spans="1:5">
      <c r="A549" s="52"/>
      <c r="B549" s="77"/>
      <c r="C549" s="77"/>
      <c r="D549" s="63"/>
      <c r="E549" s="59"/>
    </row>
    <row r="550" spans="1:5">
      <c r="A550" s="52"/>
      <c r="B550" s="77"/>
      <c r="C550" s="77"/>
      <c r="D550" s="63"/>
      <c r="E550" s="59"/>
    </row>
    <row r="551" spans="1:5">
      <c r="A551" s="52"/>
      <c r="B551" s="77"/>
      <c r="C551" s="77"/>
      <c r="D551" s="63"/>
      <c r="E551" s="59"/>
    </row>
    <row r="552" spans="1:5">
      <c r="A552" s="52"/>
      <c r="B552" s="77"/>
      <c r="C552" s="77"/>
      <c r="D552" s="63"/>
      <c r="E552" s="59"/>
    </row>
    <row r="553" spans="1:5">
      <c r="A553" s="52"/>
      <c r="B553" s="77"/>
      <c r="C553" s="77"/>
      <c r="D553" s="63"/>
      <c r="E553" s="59"/>
    </row>
    <row r="554" spans="1:5">
      <c r="A554" s="52"/>
      <c r="B554" s="77"/>
      <c r="C554" s="77"/>
      <c r="D554" s="63"/>
      <c r="E554" s="59"/>
    </row>
    <row r="555" spans="1:5">
      <c r="A555" s="52"/>
      <c r="B555" s="77"/>
      <c r="C555" s="77"/>
      <c r="D555" s="63"/>
      <c r="E555" s="59"/>
    </row>
    <row r="556" spans="1:5">
      <c r="A556" s="52"/>
      <c r="B556" s="77"/>
      <c r="C556" s="77"/>
      <c r="D556" s="63"/>
      <c r="E556" s="59"/>
    </row>
    <row r="557" spans="1:5">
      <c r="A557" s="52"/>
      <c r="B557" s="77"/>
      <c r="C557" s="77"/>
      <c r="D557" s="63"/>
      <c r="E557" s="59"/>
    </row>
    <row r="558" spans="1:5">
      <c r="A558" s="52"/>
      <c r="B558" s="77"/>
      <c r="C558" s="77"/>
      <c r="D558" s="63"/>
      <c r="E558" s="59"/>
    </row>
    <row r="559" spans="1:5">
      <c r="A559" s="52"/>
      <c r="B559" s="77"/>
      <c r="C559" s="77"/>
      <c r="D559" s="63"/>
      <c r="E559" s="59"/>
    </row>
    <row r="560" spans="1:5">
      <c r="A560" s="52"/>
      <c r="B560" s="77"/>
      <c r="C560" s="77"/>
      <c r="D560" s="63"/>
      <c r="E560" s="59"/>
    </row>
    <row r="561" spans="1:5">
      <c r="A561" s="52"/>
      <c r="B561" s="77"/>
      <c r="C561" s="77"/>
      <c r="D561" s="63"/>
      <c r="E561" s="59"/>
    </row>
    <row r="562" spans="1:5">
      <c r="A562" s="52"/>
      <c r="B562" s="77"/>
      <c r="C562" s="77"/>
      <c r="D562" s="63"/>
      <c r="E562" s="59"/>
    </row>
    <row r="563" spans="1:5">
      <c r="A563" s="52"/>
      <c r="B563" s="77"/>
      <c r="C563" s="77"/>
      <c r="D563" s="63"/>
      <c r="E563" s="59"/>
    </row>
    <row r="564" spans="1:5">
      <c r="A564" s="52"/>
      <c r="B564" s="77"/>
      <c r="C564" s="77"/>
      <c r="D564" s="63"/>
      <c r="E564" s="59"/>
    </row>
    <row r="565" spans="1:5">
      <c r="A565" s="52"/>
      <c r="B565" s="77"/>
      <c r="C565" s="77"/>
      <c r="D565" s="63"/>
      <c r="E565" s="59"/>
    </row>
    <row r="566" spans="1:5">
      <c r="A566" s="52"/>
      <c r="B566" s="77"/>
      <c r="C566" s="77"/>
      <c r="D566" s="63"/>
      <c r="E566" s="59"/>
    </row>
    <row r="567" spans="1:5">
      <c r="A567" s="52"/>
      <c r="B567" s="77"/>
      <c r="C567" s="77"/>
      <c r="D567" s="63"/>
      <c r="E567" s="59"/>
    </row>
    <row r="568" spans="1:5">
      <c r="A568" s="52"/>
      <c r="B568" s="77"/>
      <c r="C568" s="77"/>
      <c r="D568" s="63"/>
      <c r="E568" s="59"/>
    </row>
    <row r="569" spans="1:5">
      <c r="A569" s="52"/>
      <c r="B569" s="77"/>
      <c r="C569" s="77"/>
      <c r="D569" s="63"/>
      <c r="E569" s="59"/>
    </row>
    <row r="570" spans="1:5">
      <c r="A570" s="52"/>
      <c r="B570" s="77"/>
      <c r="C570" s="77"/>
      <c r="D570" s="63"/>
      <c r="E570" s="59"/>
    </row>
    <row r="571" spans="1:5">
      <c r="A571" s="52"/>
      <c r="B571" s="77"/>
      <c r="C571" s="77"/>
      <c r="D571" s="63"/>
      <c r="E571" s="59"/>
    </row>
    <row r="572" spans="1:5">
      <c r="A572" s="52"/>
      <c r="B572" s="77"/>
      <c r="C572" s="77"/>
      <c r="D572" s="63"/>
      <c r="E572" s="59"/>
    </row>
    <row r="573" spans="1:5">
      <c r="A573" s="52"/>
      <c r="B573" s="77"/>
      <c r="C573" s="77"/>
      <c r="D573" s="63"/>
      <c r="E573" s="59"/>
    </row>
    <row r="574" spans="1:5">
      <c r="A574" s="52"/>
      <c r="B574" s="77"/>
      <c r="C574" s="77"/>
      <c r="D574" s="63"/>
      <c r="E574" s="59"/>
    </row>
    <row r="575" spans="1:5">
      <c r="A575" s="52"/>
      <c r="B575" s="77"/>
      <c r="C575" s="77"/>
      <c r="D575" s="63"/>
      <c r="E575" s="59"/>
    </row>
    <row r="576" spans="1:5">
      <c r="A576" s="52"/>
      <c r="B576" s="77"/>
      <c r="C576" s="77"/>
      <c r="D576" s="63"/>
      <c r="E576" s="59"/>
    </row>
    <row r="577" spans="1:5">
      <c r="A577" s="52"/>
      <c r="B577" s="77"/>
      <c r="C577" s="77"/>
      <c r="D577" s="63"/>
      <c r="E577" s="59"/>
    </row>
    <row r="578" spans="1:5">
      <c r="A578" s="52"/>
      <c r="B578" s="77"/>
      <c r="C578" s="77"/>
      <c r="D578" s="63"/>
      <c r="E578" s="59"/>
    </row>
    <row r="579" spans="1:5">
      <c r="A579" s="52"/>
      <c r="B579" s="77"/>
      <c r="C579" s="77"/>
      <c r="D579" s="63"/>
      <c r="E579" s="59"/>
    </row>
    <row r="580" spans="1:5">
      <c r="A580" s="52"/>
      <c r="B580" s="77"/>
      <c r="C580" s="77"/>
      <c r="D580" s="63"/>
      <c r="E580" s="59"/>
    </row>
    <row r="581" spans="1:5">
      <c r="A581" s="52"/>
      <c r="B581" s="77"/>
      <c r="C581" s="77"/>
      <c r="D581" s="63"/>
      <c r="E581" s="59"/>
    </row>
    <row r="582" spans="1:5">
      <c r="A582" s="52"/>
      <c r="B582" s="77"/>
      <c r="C582" s="77"/>
      <c r="D582" s="63"/>
      <c r="E582" s="59"/>
    </row>
    <row r="583" spans="1:5">
      <c r="A583" s="52"/>
      <c r="B583" s="77"/>
      <c r="C583" s="77"/>
      <c r="D583" s="63"/>
      <c r="E583" s="59"/>
    </row>
    <row r="584" spans="1:5">
      <c r="A584" s="52"/>
      <c r="B584" s="77"/>
      <c r="C584" s="77"/>
      <c r="D584" s="63"/>
      <c r="E584" s="59"/>
    </row>
    <row r="585" spans="1:5">
      <c r="A585" s="52"/>
      <c r="B585" s="77"/>
      <c r="C585" s="77"/>
      <c r="D585" s="63"/>
      <c r="E585" s="59"/>
    </row>
    <row r="586" spans="1:5">
      <c r="A586" s="52"/>
      <c r="B586" s="77"/>
      <c r="C586" s="77"/>
      <c r="D586" s="63"/>
      <c r="E586" s="59"/>
    </row>
    <row r="587" spans="1:5">
      <c r="A587" s="52"/>
      <c r="B587" s="77"/>
      <c r="C587" s="77"/>
      <c r="D587" s="63"/>
      <c r="E587" s="59"/>
    </row>
    <row r="588" spans="1:5">
      <c r="A588" s="52"/>
      <c r="B588" s="77"/>
      <c r="C588" s="77"/>
      <c r="D588" s="63"/>
      <c r="E588" s="59"/>
    </row>
    <row r="589" spans="1:5">
      <c r="A589" s="52"/>
      <c r="B589" s="77"/>
      <c r="C589" s="77"/>
      <c r="D589" s="63"/>
      <c r="E589" s="59"/>
    </row>
    <row r="590" spans="1:5">
      <c r="A590" s="52"/>
      <c r="B590" s="77"/>
      <c r="C590" s="77"/>
      <c r="D590" s="63"/>
      <c r="E590" s="59"/>
    </row>
    <row r="591" spans="1:5">
      <c r="A591" s="52"/>
      <c r="B591" s="77"/>
      <c r="C591" s="77"/>
      <c r="D591" s="63"/>
      <c r="E591" s="59"/>
    </row>
    <row r="592" spans="1:5">
      <c r="A592" s="52"/>
      <c r="B592" s="77"/>
      <c r="C592" s="77"/>
      <c r="D592" s="63"/>
      <c r="E592" s="59"/>
    </row>
    <row r="593" spans="1:5">
      <c r="A593" s="52"/>
      <c r="B593" s="77"/>
      <c r="C593" s="77"/>
      <c r="D593" s="63"/>
      <c r="E593" s="59"/>
    </row>
    <row r="594" spans="1:5">
      <c r="A594" s="52"/>
      <c r="B594" s="77"/>
      <c r="C594" s="77"/>
      <c r="D594" s="63"/>
      <c r="E594" s="59"/>
    </row>
    <row r="595" spans="1:5">
      <c r="A595" s="52"/>
      <c r="B595" s="77"/>
      <c r="C595" s="77"/>
      <c r="D595" s="63"/>
      <c r="E595" s="59"/>
    </row>
    <row r="596" spans="1:5">
      <c r="A596" s="52"/>
      <c r="B596" s="77"/>
      <c r="C596" s="77"/>
      <c r="D596" s="63"/>
      <c r="E596" s="59"/>
    </row>
    <row r="597" spans="1:5">
      <c r="A597" s="52"/>
      <c r="B597" s="77"/>
      <c r="C597" s="77"/>
      <c r="D597" s="63"/>
      <c r="E597" s="59"/>
    </row>
    <row r="598" spans="1:5">
      <c r="A598" s="52"/>
      <c r="B598" s="77"/>
      <c r="C598" s="77"/>
      <c r="D598" s="63"/>
      <c r="E598" s="59"/>
    </row>
    <row r="599" spans="1:5">
      <c r="A599" s="52"/>
      <c r="B599" s="77"/>
      <c r="C599" s="77"/>
      <c r="D599" s="63"/>
      <c r="E599" s="59"/>
    </row>
    <row r="600" spans="1:5">
      <c r="A600" s="52"/>
      <c r="B600" s="77"/>
      <c r="C600" s="77"/>
      <c r="D600" s="63"/>
      <c r="E600" s="59"/>
    </row>
    <row r="601" spans="1:5">
      <c r="A601" s="52"/>
      <c r="B601" s="77"/>
      <c r="C601" s="77"/>
      <c r="D601" s="63"/>
      <c r="E601" s="59"/>
    </row>
    <row r="602" spans="1:5">
      <c r="A602" s="52"/>
      <c r="B602" s="77"/>
      <c r="C602" s="77"/>
      <c r="D602" s="63"/>
      <c r="E602" s="59"/>
    </row>
    <row r="603" spans="1:5">
      <c r="A603" s="52"/>
      <c r="B603" s="77"/>
      <c r="C603" s="77"/>
      <c r="D603" s="63"/>
      <c r="E603" s="59"/>
    </row>
    <row r="604" spans="1:5">
      <c r="A604" s="52"/>
      <c r="B604" s="77"/>
      <c r="C604" s="77"/>
      <c r="D604" s="63"/>
      <c r="E604" s="59"/>
    </row>
    <row r="605" spans="1:5">
      <c r="A605" s="52"/>
      <c r="B605" s="77"/>
      <c r="C605" s="77"/>
      <c r="D605" s="63"/>
      <c r="E605" s="59"/>
    </row>
    <row r="606" spans="1:5">
      <c r="A606" s="52"/>
      <c r="B606" s="77"/>
      <c r="C606" s="77"/>
      <c r="D606" s="63"/>
      <c r="E606" s="59"/>
    </row>
    <row r="607" spans="1:5">
      <c r="A607" s="52"/>
      <c r="B607" s="77"/>
      <c r="C607" s="77"/>
      <c r="D607" s="63"/>
      <c r="E607" s="59"/>
    </row>
    <row r="608" spans="1:5">
      <c r="A608" s="52"/>
      <c r="B608" s="77"/>
      <c r="C608" s="77"/>
      <c r="D608" s="63"/>
      <c r="E608" s="59"/>
    </row>
    <row r="609" spans="1:5">
      <c r="A609" s="52"/>
      <c r="B609" s="77"/>
      <c r="C609" s="77"/>
      <c r="D609" s="63"/>
      <c r="E609" s="59"/>
    </row>
    <row r="610" spans="1:5">
      <c r="A610" s="52"/>
      <c r="B610" s="77"/>
      <c r="C610" s="77"/>
      <c r="D610" s="63"/>
      <c r="E610" s="59"/>
    </row>
    <row r="611" spans="1:5">
      <c r="A611" s="52"/>
      <c r="B611" s="77"/>
      <c r="C611" s="77"/>
      <c r="D611" s="63"/>
      <c r="E611" s="59"/>
    </row>
    <row r="612" spans="1:5">
      <c r="A612" s="52"/>
      <c r="B612" s="77"/>
      <c r="C612" s="77"/>
      <c r="D612" s="63"/>
      <c r="E612" s="59"/>
    </row>
    <row r="613" spans="1:5">
      <c r="A613" s="52"/>
      <c r="B613" s="77"/>
      <c r="C613" s="77"/>
      <c r="D613" s="63"/>
      <c r="E613" s="59"/>
    </row>
    <row r="614" spans="1:5">
      <c r="A614" s="52"/>
      <c r="B614" s="77"/>
      <c r="C614" s="77"/>
      <c r="D614" s="63"/>
      <c r="E614" s="59"/>
    </row>
    <row r="615" spans="1:5">
      <c r="A615" s="52"/>
      <c r="B615" s="77"/>
      <c r="C615" s="77"/>
      <c r="D615" s="63"/>
      <c r="E615" s="59"/>
    </row>
    <row r="616" spans="1:5">
      <c r="A616" s="52"/>
      <c r="B616" s="77"/>
      <c r="C616" s="77"/>
      <c r="D616" s="63"/>
      <c r="E616" s="59"/>
    </row>
    <row r="617" spans="1:5">
      <c r="A617" s="52"/>
      <c r="B617" s="77"/>
      <c r="C617" s="77"/>
      <c r="D617" s="63"/>
      <c r="E617" s="59"/>
    </row>
    <row r="618" spans="1:5">
      <c r="A618" s="52"/>
      <c r="B618" s="77"/>
      <c r="C618" s="77"/>
      <c r="D618" s="63"/>
      <c r="E618" s="59"/>
    </row>
    <row r="619" spans="1:5">
      <c r="A619" s="52"/>
      <c r="B619" s="77"/>
      <c r="C619" s="77"/>
      <c r="D619" s="63"/>
      <c r="E619" s="59"/>
    </row>
    <row r="620" spans="1:5">
      <c r="A620" s="60"/>
      <c r="B620" s="80"/>
      <c r="C620" s="80"/>
      <c r="D620" s="69"/>
      <c r="E620" s="61"/>
    </row>
    <row r="621" spans="1:5">
      <c r="A621" s="83"/>
    </row>
    <row r="622" spans="1:5">
      <c r="A622" s="83"/>
    </row>
    <row r="623" spans="1:5">
      <c r="A623" s="83"/>
    </row>
    <row r="624" spans="1:5">
      <c r="A624" s="83"/>
    </row>
    <row r="625" spans="1:1">
      <c r="A625" s="83"/>
    </row>
    <row r="626" spans="1:1">
      <c r="A626" s="83"/>
    </row>
    <row r="627" spans="1:1">
      <c r="A627" s="83"/>
    </row>
    <row r="628" spans="1:1">
      <c r="A628" s="83"/>
    </row>
    <row r="629" spans="1:1">
      <c r="A629" s="83"/>
    </row>
    <row r="630" spans="1:1">
      <c r="A630" s="83"/>
    </row>
    <row r="631" spans="1:1">
      <c r="A631" s="83"/>
    </row>
    <row r="632" spans="1:1">
      <c r="A632" s="83"/>
    </row>
    <row r="633" spans="1:1">
      <c r="A633" s="83"/>
    </row>
    <row r="634" spans="1:1">
      <c r="A634" s="83"/>
    </row>
    <row r="635" spans="1:1">
      <c r="A635" s="83"/>
    </row>
    <row r="636" spans="1:1">
      <c r="A636" s="83"/>
    </row>
    <row r="637" spans="1:1">
      <c r="A637" s="83"/>
    </row>
    <row r="638" spans="1:1">
      <c r="A638" s="83"/>
    </row>
    <row r="639" spans="1:1">
      <c r="A639" s="83"/>
    </row>
    <row r="640" spans="1:1">
      <c r="A640" s="83"/>
    </row>
    <row r="641" spans="1:1">
      <c r="A641" s="83"/>
    </row>
    <row r="642" spans="1:1">
      <c r="A642" s="83"/>
    </row>
    <row r="643" spans="1:1">
      <c r="A643" s="83"/>
    </row>
    <row r="644" spans="1:1">
      <c r="A644" s="83"/>
    </row>
    <row r="645" spans="1:1">
      <c r="A645" s="83"/>
    </row>
    <row r="646" spans="1:1">
      <c r="A646" s="83"/>
    </row>
    <row r="647" spans="1:1">
      <c r="A647" s="83"/>
    </row>
    <row r="648" spans="1:1">
      <c r="A648" s="83"/>
    </row>
    <row r="649" spans="1:1">
      <c r="A649" s="83"/>
    </row>
    <row r="650" spans="1:1">
      <c r="A650" s="83"/>
    </row>
    <row r="651" spans="1:1">
      <c r="A651" s="83"/>
    </row>
    <row r="652" spans="1:1">
      <c r="A652" s="83"/>
    </row>
    <row r="653" spans="1:1">
      <c r="A653" s="83"/>
    </row>
    <row r="654" spans="1:1">
      <c r="A654" s="83"/>
    </row>
    <row r="655" spans="1:1">
      <c r="A655" s="83"/>
    </row>
    <row r="656" spans="1:1">
      <c r="A656" s="83"/>
    </row>
    <row r="657" spans="1:1">
      <c r="A657" s="83"/>
    </row>
    <row r="658" spans="1:1">
      <c r="A658" s="83"/>
    </row>
    <row r="659" spans="1:1">
      <c r="A659" s="83"/>
    </row>
    <row r="660" spans="1:1">
      <c r="A660" s="83"/>
    </row>
    <row r="661" spans="1:1">
      <c r="A661" s="83"/>
    </row>
    <row r="662" spans="1:1">
      <c r="A662" s="83"/>
    </row>
    <row r="663" spans="1:1">
      <c r="A663" s="83"/>
    </row>
    <row r="664" spans="1:1">
      <c r="A664" s="83"/>
    </row>
    <row r="665" spans="1:1">
      <c r="A665" s="83"/>
    </row>
    <row r="666" spans="1:1">
      <c r="A666" s="83"/>
    </row>
    <row r="667" spans="1:1">
      <c r="A667" s="83"/>
    </row>
    <row r="668" spans="1:1">
      <c r="A668" s="83"/>
    </row>
    <row r="669" spans="1:1">
      <c r="A669" s="83"/>
    </row>
    <row r="670" spans="1:1">
      <c r="A670" s="83"/>
    </row>
    <row r="671" spans="1:1">
      <c r="A671" s="83"/>
    </row>
    <row r="672" spans="1:1">
      <c r="A672" s="83"/>
    </row>
    <row r="673" spans="1:1">
      <c r="A673" s="83"/>
    </row>
    <row r="674" spans="1:1">
      <c r="A674" s="83"/>
    </row>
    <row r="675" spans="1:1">
      <c r="A675" s="83"/>
    </row>
    <row r="676" spans="1:1">
      <c r="A676" s="83"/>
    </row>
    <row r="677" spans="1:1">
      <c r="A677" s="83"/>
    </row>
    <row r="678" spans="1:1">
      <c r="A678" s="83"/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>
    <oddHeader>&amp;A</oddHeader>
    <oddFooter>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2359-3A27-4F20-9895-6073ECD0F2B5}">
  <dimension ref="A3:G27"/>
  <sheetViews>
    <sheetView tabSelected="1" zoomScale="80" workbookViewId="0">
      <selection activeCell="F30" sqref="F30"/>
    </sheetView>
  </sheetViews>
  <sheetFormatPr defaultColWidth="11.5546875" defaultRowHeight="16.5"/>
  <cols>
    <col min="1" max="1" width="11.5546875" style="10" customWidth="1"/>
    <col min="2" max="2" width="14.77734375" style="39" customWidth="1"/>
    <col min="3" max="3" width="12.88671875" style="10" customWidth="1"/>
    <col min="4" max="4" width="14.88671875" style="10" customWidth="1"/>
    <col min="5" max="5" width="13.21875" style="10" customWidth="1"/>
    <col min="6" max="6" width="12.5546875" style="10" customWidth="1"/>
    <col min="7" max="7" width="15.88671875" style="10" customWidth="1"/>
    <col min="8" max="8" width="14.88671875" style="10" customWidth="1"/>
    <col min="9" max="9" width="13.77734375" style="10" bestFit="1" customWidth="1"/>
    <col min="10" max="10" width="15.44140625" style="10" bestFit="1" customWidth="1"/>
    <col min="11" max="16384" width="11.5546875" style="10"/>
  </cols>
  <sheetData>
    <row r="3" spans="1:7">
      <c r="A3" s="10" t="s">
        <v>4</v>
      </c>
      <c r="B3" s="37" t="s">
        <v>5</v>
      </c>
    </row>
    <row r="4" spans="1:7">
      <c r="A4" s="10" t="s">
        <v>6</v>
      </c>
      <c r="B4" s="38"/>
    </row>
    <row r="6" spans="1:7" ht="17.25" thickBot="1">
      <c r="B6" s="40" t="s">
        <v>7</v>
      </c>
      <c r="C6" s="11"/>
      <c r="D6" s="11"/>
      <c r="E6" s="11"/>
    </row>
    <row r="7" spans="1:7" ht="17.25" thickBot="1">
      <c r="B7" s="41" t="s">
        <v>8</v>
      </c>
      <c r="C7" s="90"/>
      <c r="D7" s="91"/>
      <c r="E7" s="12" t="s">
        <v>9</v>
      </c>
    </row>
    <row r="8" spans="1:7">
      <c r="A8" s="10" t="s">
        <v>10</v>
      </c>
      <c r="C8" s="30"/>
    </row>
    <row r="9" spans="1:7" ht="17.25" thickBot="1">
      <c r="A9" s="10" t="s">
        <v>11</v>
      </c>
      <c r="C9" s="10" t="s">
        <v>12</v>
      </c>
    </row>
    <row r="10" spans="1:7" ht="17.25" thickBot="1">
      <c r="A10" s="10" t="s">
        <v>13</v>
      </c>
      <c r="C10" s="13">
        <v>44043</v>
      </c>
      <c r="D10" s="14" t="e">
        <f>VLOOKUP(C10,TOTINDICE,2,FALSE)</f>
        <v>#N/A</v>
      </c>
      <c r="E10" s="15"/>
    </row>
    <row r="11" spans="1:7">
      <c r="A11" s="10" t="s">
        <v>14</v>
      </c>
      <c r="B11" s="42"/>
      <c r="C11" s="16"/>
      <c r="D11" s="17"/>
    </row>
    <row r="12" spans="1:7">
      <c r="C12" s="19"/>
      <c r="D12" s="18"/>
    </row>
    <row r="14" spans="1:7" ht="17.25" thickBot="1">
      <c r="C14" s="34"/>
    </row>
    <row r="15" spans="1:7">
      <c r="A15" s="20" t="s">
        <v>15</v>
      </c>
      <c r="B15" s="43" t="s">
        <v>16</v>
      </c>
      <c r="C15" s="21" t="s">
        <v>17</v>
      </c>
      <c r="D15" s="21" t="s">
        <v>18</v>
      </c>
      <c r="E15" s="21" t="s">
        <v>18</v>
      </c>
      <c r="F15" s="86" t="s">
        <v>19</v>
      </c>
      <c r="G15" s="86" t="s">
        <v>20</v>
      </c>
    </row>
    <row r="16" spans="1:7" ht="17.25" thickBot="1">
      <c r="A16" s="22"/>
      <c r="B16" s="44" t="s">
        <v>21</v>
      </c>
      <c r="C16" s="23" t="s">
        <v>22</v>
      </c>
      <c r="D16" s="31" t="s">
        <v>23</v>
      </c>
      <c r="E16" s="31" t="s">
        <v>24</v>
      </c>
      <c r="F16" s="88"/>
      <c r="G16" s="88"/>
    </row>
    <row r="17" spans="1:7">
      <c r="A17" s="24"/>
      <c r="B17" s="45"/>
      <c r="C17" s="25" t="e">
        <f>B17*$D$10/#REF!</f>
        <v>#N/A</v>
      </c>
      <c r="D17" s="84"/>
      <c r="E17" s="84"/>
      <c r="F17" s="87"/>
      <c r="G17" s="85"/>
    </row>
    <row r="18" spans="1:7">
      <c r="A18" s="26"/>
      <c r="B18" s="46"/>
      <c r="C18" s="25" t="e">
        <f>B18*$D$10/#REF!</f>
        <v>#N/A</v>
      </c>
      <c r="D18" s="84"/>
      <c r="E18" s="84"/>
      <c r="F18" s="87"/>
      <c r="G18" s="85"/>
    </row>
    <row r="19" spans="1:7" ht="17.25" thickBot="1">
      <c r="A19" s="26"/>
      <c r="B19" s="47"/>
      <c r="C19" s="25" t="e">
        <f>B19*$D$10/#REF!</f>
        <v>#N/A</v>
      </c>
      <c r="D19" s="32"/>
      <c r="E19" s="32"/>
      <c r="F19" s="87"/>
      <c r="G19" s="85"/>
    </row>
    <row r="20" spans="1:7" ht="17.25" thickBot="1">
      <c r="A20" s="33" t="s">
        <v>25</v>
      </c>
      <c r="B20" s="48"/>
      <c r="C20" s="35" t="e">
        <f>SUM(C17:C19)</f>
        <v>#N/A</v>
      </c>
      <c r="D20" s="41">
        <f>SUM(D17:D19)</f>
        <v>0</v>
      </c>
      <c r="E20" s="41">
        <f>SUM(E17:E19)</f>
        <v>0</v>
      </c>
      <c r="F20" s="41">
        <f>SUM(F17:F19)</f>
        <v>0</v>
      </c>
      <c r="G20" s="41">
        <f>SUM(G17:G19)</f>
        <v>0</v>
      </c>
    </row>
    <row r="21" spans="1:7">
      <c r="A21" s="10" t="s">
        <v>26</v>
      </c>
      <c r="B21" s="49"/>
    </row>
    <row r="22" spans="1:7">
      <c r="A22" s="9"/>
      <c r="B22" s="50"/>
      <c r="C22" s="36"/>
      <c r="D22" s="27"/>
      <c r="E22" s="28"/>
      <c r="F22" s="29"/>
    </row>
    <row r="23" spans="1:7">
      <c r="A23" s="10" t="s">
        <v>27</v>
      </c>
      <c r="D23" s="89" t="e">
        <f>C20-D20-E20</f>
        <v>#N/A</v>
      </c>
    </row>
    <row r="24" spans="1:7">
      <c r="A24" s="10" t="s">
        <v>28</v>
      </c>
      <c r="D24" s="89"/>
    </row>
    <row r="25" spans="1:7">
      <c r="A25" s="10" t="s">
        <v>29</v>
      </c>
      <c r="D25" s="89">
        <f>D20+F20+G20</f>
        <v>0</v>
      </c>
    </row>
    <row r="26" spans="1:7">
      <c r="A26" s="10" t="s">
        <v>30</v>
      </c>
      <c r="D26" s="89">
        <f>E20</f>
        <v>0</v>
      </c>
    </row>
    <row r="27" spans="1:7">
      <c r="A27" s="10" t="s">
        <v>31</v>
      </c>
      <c r="D27" s="89" t="e">
        <f>SUM(D23:D26)</f>
        <v>#N/A</v>
      </c>
    </row>
  </sheetData>
  <mergeCells count="1">
    <mergeCell ref="C7:D7"/>
  </mergeCells>
  <phoneticPr fontId="0" type="noConversion"/>
  <printOptions horizontalCentered="1"/>
  <pageMargins left="0.39370078740157483" right="0.39370078740157483" top="0.59055118110236227" bottom="0.59055118110236227" header="0.31496062992125984" footer="0.31496062992125984"/>
  <pageSetup paperSize="9" scale="68" orientation="portrait" r:id="rId1"/>
  <headerFooter alignWithMargins="0">
    <oddHeader xml:space="preserve">&amp;C&amp;"Century Schoolbook,Bold"Prefeitura do Município de São Paulo
Secretaria dos Negócios Jurídicos 
Departamento Judicial 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PREFEITURA DO MUNICÍPIO DE SÃO PAULO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TOTINDICE</dc:title>
  <dc:subject>Tabela de incides TJ</dc:subject>
  <dc:creator>PMSP</dc:creator>
  <cp:keywords/>
  <dc:description/>
  <cp:lastModifiedBy>Pablo Pinheiro Cavalcante</cp:lastModifiedBy>
  <cp:revision/>
  <dcterms:created xsi:type="dcterms:W3CDTF">2001-10-15T18:13:44Z</dcterms:created>
  <dcterms:modified xsi:type="dcterms:W3CDTF">2026-02-27T17:13:20Z</dcterms:modified>
  <cp:category/>
  <cp:contentStatus/>
</cp:coreProperties>
</file>